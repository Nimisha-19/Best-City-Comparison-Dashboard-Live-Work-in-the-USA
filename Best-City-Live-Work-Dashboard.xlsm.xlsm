
<file path=[Content_Types].xml><?xml version="1.0" encoding="utf-8"?>
<Types xmlns="http://schemas.openxmlformats.org/package/2006/content-types">
  <Default Extension="bin" ContentType="application/vnd.ms-office.vbaProject"/>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1.xml" ContentType="application/vnd.openxmlformats-officedocument.spreadsheetml.pivotTable+xml"/>
  <Override PartName="/xl/drawings/drawing2.xml" ContentType="application/vnd.openxmlformats-officedocument.drawing+xml"/>
  <Override PartName="/xl/ctrlProps/ctrlProp4.xml" ContentType="application/vnd.ms-excel.controlproperties+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2.xml" ContentType="application/vnd.openxmlformats-officedocument.spreadsheetml.pivotTable+xml"/>
  <Override PartName="/xl/drawings/drawing3.xml" ContentType="application/vnd.openxmlformats-officedocument.drawing+xml"/>
  <Override PartName="/xl/ctrlProps/ctrlProp5.xml" ContentType="application/vnd.ms-excel.controlproperties+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4.xml" ContentType="application/vnd.openxmlformats-officedocument.drawing+xml"/>
  <Override PartName="/xl/ctrlProps/ctrlProp6.xml" ContentType="application/vnd.ms-excel.controlproperties+xml"/>
  <Override PartName="/xl/tables/table1.xml" ContentType="application/vnd.openxmlformats-officedocument.spreadsheetml.tab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3.xml" ContentType="application/vnd.openxmlformats-officedocument.spreadsheetml.pivotTable+xml"/>
  <Override PartName="/xl/drawings/drawing5.xml" ContentType="application/vnd.openxmlformats-officedocument.drawing+xml"/>
  <Override PartName="/xl/slicers/slicer2.xml" ContentType="application/vnd.ms-excel.slicer+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4.xml" ContentType="application/vnd.openxmlformats-officedocument.spreadsheetml.pivotTable+xml"/>
  <Override PartName="/xl/drawings/drawing6.xml" ContentType="application/vnd.openxmlformats-officedocument.drawing+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tables/table2.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025" codeName="{372AB895-14C1-FC20-EB20-F1B4BCFD95AE}"/>
  <workbookPr codeName="ThisWorkbook" hidePivotFieldList="1"/>
  <mc:AlternateContent xmlns:mc="http://schemas.openxmlformats.org/markup-compatibility/2006">
    <mc:Choice Requires="x15">
      <x15ac:absPath xmlns:x15ac="http://schemas.microsoft.com/office/spreadsheetml/2010/11/ac" url="https://d.docs.live.net/8e6058bc02a338d2/Desktop/601/"/>
    </mc:Choice>
  </mc:AlternateContent>
  <xr:revisionPtr revIDLastSave="137" documentId="14_{992C1CD1-FBAE-4B5A-9439-DD2D599F709A}" xr6:coauthVersionLast="47" xr6:coauthVersionMax="47" xr10:uidLastSave="{B57FA2EB-78C9-4BBD-BFCD-4CFC6DAECED5}"/>
  <bookViews>
    <workbookView xWindow="-110" yWindow="-110" windowWidth="19420" windowHeight="10300" xr2:uid="{F4EC3E85-E0F1-4B3F-96C3-643FF5329369}"/>
  </bookViews>
  <sheets>
    <sheet name="Dashboard" sheetId="16" r:id="rId1"/>
    <sheet name="Education" sheetId="15" state="hidden" r:id="rId2"/>
    <sheet name="Population" sheetId="14" state="hidden" r:id="rId3"/>
    <sheet name="Climate" sheetId="12" state="hidden" r:id="rId4"/>
    <sheet name="EconomicalFactors" sheetId="2" state="hidden" r:id="rId5"/>
    <sheet name="Crime" sheetId="7" state="hidden" r:id="rId6"/>
    <sheet name="HomePrice" sheetId="6" state="hidden" r:id="rId7"/>
    <sheet name="HealthCare" sheetId="8" state="hidden" r:id="rId8"/>
    <sheet name="Income tax" sheetId="9" state="hidden" r:id="rId9"/>
    <sheet name="UnemploymentRate" sheetId="10" state="hidden" r:id="rId10"/>
    <sheet name="Data" sheetId="1" state="hidden" r:id="rId11"/>
    <sheet name="Bibliography" sheetId="11" state="hidden" r:id="rId12"/>
  </sheets>
  <definedNames>
    <definedName name="Slicer_Cities">#N/A</definedName>
    <definedName name="Slicer_Cities1">#N/A</definedName>
    <definedName name="Slicer_Cities2">#N/A</definedName>
  </definedNames>
  <calcPr calcId="191029"/>
  <pivotCaches>
    <pivotCache cacheId="0" r:id="rId13"/>
  </pivotCaches>
  <extLst>
    <ext xmlns:x14="http://schemas.microsoft.com/office/spreadsheetml/2009/9/main" uri="{BBE1A952-AA13-448e-AADC-164F8A28A991}">
      <x14:slicerCaches>
        <x14:slicerCache r:id="rId14"/>
        <x14:slicerCache r:id="rId15"/>
        <x14:slicerCache r:id="rId1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 i="7" l="1"/>
  <c r="E3" i="7"/>
</calcChain>
</file>

<file path=xl/sharedStrings.xml><?xml version="1.0" encoding="utf-8"?>
<sst xmlns="http://schemas.openxmlformats.org/spreadsheetml/2006/main" count="269" uniqueCount="75">
  <si>
    <t>Clevland</t>
  </si>
  <si>
    <t>Ohio</t>
  </si>
  <si>
    <t>Dallas</t>
  </si>
  <si>
    <t>State</t>
  </si>
  <si>
    <t>Texas</t>
  </si>
  <si>
    <t>Population</t>
  </si>
  <si>
    <t>Median Income</t>
  </si>
  <si>
    <t>Avg Home Price</t>
  </si>
  <si>
    <t>Unemployment Rate</t>
  </si>
  <si>
    <t>Crime Rank</t>
  </si>
  <si>
    <t>Climate</t>
  </si>
  <si>
    <t>Doctors per 1000000</t>
  </si>
  <si>
    <t>Cities</t>
  </si>
  <si>
    <t>Boston</t>
  </si>
  <si>
    <t>MA</t>
  </si>
  <si>
    <t>New York</t>
  </si>
  <si>
    <t>Philladelphia</t>
  </si>
  <si>
    <t>Chicago</t>
  </si>
  <si>
    <t>Pennsylvania</t>
  </si>
  <si>
    <t>Illionis</t>
  </si>
  <si>
    <t>Detroit</t>
  </si>
  <si>
    <t>Michigan</t>
  </si>
  <si>
    <t>Washington DC</t>
  </si>
  <si>
    <t>Washington</t>
  </si>
  <si>
    <t>Richmond</t>
  </si>
  <si>
    <t>Virginia</t>
  </si>
  <si>
    <t>Manchester</t>
  </si>
  <si>
    <t>New Hampshire</t>
  </si>
  <si>
    <t>Miami</t>
  </si>
  <si>
    <t>Florida</t>
  </si>
  <si>
    <t>Denver</t>
  </si>
  <si>
    <t>Colorado</t>
  </si>
  <si>
    <t>Tampa</t>
  </si>
  <si>
    <t>Nashville</t>
  </si>
  <si>
    <t>Tennessee</t>
  </si>
  <si>
    <t>Baltimore</t>
  </si>
  <si>
    <t>Maryland</t>
  </si>
  <si>
    <t>Orlando</t>
  </si>
  <si>
    <t>Houston</t>
  </si>
  <si>
    <t>Las Vegas</t>
  </si>
  <si>
    <t>Nevada</t>
  </si>
  <si>
    <t>Raleigh</t>
  </si>
  <si>
    <t>North Carolina</t>
  </si>
  <si>
    <t>Kansas City</t>
  </si>
  <si>
    <t>Missouri</t>
  </si>
  <si>
    <t>Avg Commute Time</t>
  </si>
  <si>
    <t>Income Tax</t>
  </si>
  <si>
    <t>Future Job Growth</t>
  </si>
  <si>
    <t>Education expense per student</t>
  </si>
  <si>
    <t>United States</t>
  </si>
  <si>
    <t>Row Labels</t>
  </si>
  <si>
    <t>Grand Total</t>
  </si>
  <si>
    <t>Sum of Avg Home Price</t>
  </si>
  <si>
    <t>Sum of Unemployment Rate</t>
  </si>
  <si>
    <t>Sum of Median Income</t>
  </si>
  <si>
    <t>Sum of Crime Rank</t>
  </si>
  <si>
    <t>Sum of Doctors per 1000000</t>
  </si>
  <si>
    <t>Sum of Avg Commute Time</t>
  </si>
  <si>
    <t>Sum of Income Tax</t>
  </si>
  <si>
    <t>Massachusetts</t>
  </si>
  <si>
    <t>https://nces.ed.gov/</t>
  </si>
  <si>
    <t xml:space="preserve">National Centre For Education Statistics </t>
  </si>
  <si>
    <t>https://www.ncei.noaa.gov/</t>
  </si>
  <si>
    <t>National Climatic Data Center</t>
  </si>
  <si>
    <t>Uniform Crime Reports</t>
  </si>
  <si>
    <t>https://ucr.fbi.gov/crime-in-the-u.s</t>
  </si>
  <si>
    <t>Medicare and the U.S. Department of Health and Human Services</t>
  </si>
  <si>
    <t>https://www.hhs.gov/</t>
  </si>
  <si>
    <t>Federal Transit Administration</t>
  </si>
  <si>
    <t>https://www.transit.dot.gov/ntd/ntd-data?field_product_type_target_id=1026&amp;year=2023&amp;combine=</t>
  </si>
  <si>
    <t>https://www.nar.realtor/research-and-statistics</t>
  </si>
  <si>
    <t>National Association of Realtors</t>
  </si>
  <si>
    <t>Philadelphia</t>
  </si>
  <si>
    <t>Sum of Population</t>
  </si>
  <si>
    <t>Sum of Education expense per student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</si>
</sst>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quot;$&quot;#,##0"/>
    <numFmt numFmtId="165" formatCode="_(* #,##0_);_(* \(#,##0\);_(* &quot;-&quot;??_);_(@_)"/>
  </numFmts>
  <fonts count="8" x14ac:knownFonts="1">
    <font>
      <sz val="11"/>
      <color theme="1"/>
      <name val="Century Schoolbook"/>
      <family val="2"/>
      <scheme val="minor"/>
    </font>
    <font>
      <b/>
      <sz val="11"/>
      <color theme="1"/>
      <name val="Century Schoolbook"/>
      <family val="2"/>
      <scheme val="minor"/>
    </font>
    <font>
      <sz val="10"/>
      <color rgb="FF212529"/>
      <name val="Nunito Sans"/>
    </font>
    <font>
      <sz val="11"/>
      <color theme="1"/>
      <name val="Arial"/>
      <family val="2"/>
    </font>
    <font>
      <b/>
      <sz val="11"/>
      <color theme="1"/>
      <name val="Arial"/>
      <family val="2"/>
    </font>
    <font>
      <sz val="11"/>
      <color rgb="FF000000"/>
      <name val="Century Schoolbook"/>
      <family val="1"/>
    </font>
    <font>
      <b/>
      <sz val="11"/>
      <color theme="3"/>
      <name val="Century Schoolbook"/>
      <family val="2"/>
      <scheme val="minor"/>
    </font>
    <font>
      <b/>
      <sz val="12"/>
      <color rgb="FF000000"/>
      <name val="Cambria"/>
      <family val="1"/>
    </font>
  </fonts>
  <fills count="5">
    <fill>
      <patternFill patternType="none"/>
    </fill>
    <fill>
      <patternFill patternType="gray125"/>
    </fill>
    <fill>
      <patternFill patternType="solid">
        <fgColor theme="4" tint="0.79998168889431442"/>
        <bgColor theme="4" tint="0.79998168889431442"/>
      </patternFill>
    </fill>
    <fill>
      <patternFill patternType="solid">
        <fgColor theme="4" tint="0.59999389629810485"/>
        <bgColor indexed="64"/>
      </patternFill>
    </fill>
    <fill>
      <patternFill patternType="solid">
        <fgColor theme="8" tint="0.79998168889431442"/>
        <bgColor theme="8" tint="0.79998168889431442"/>
      </patternFill>
    </fill>
  </fills>
  <borders count="3">
    <border>
      <left/>
      <right/>
      <top/>
      <bottom/>
      <diagonal/>
    </border>
    <border>
      <left/>
      <right/>
      <top/>
      <bottom style="thin">
        <color theme="4" tint="0.39997558519241921"/>
      </bottom>
      <diagonal/>
    </border>
    <border>
      <left style="thin">
        <color theme="8" tint="0.59999389629810485"/>
      </left>
      <right style="thin">
        <color theme="8" tint="0.59999389629810485"/>
      </right>
      <top/>
      <bottom/>
      <diagonal/>
    </border>
  </borders>
  <cellStyleXfs count="1">
    <xf numFmtId="0" fontId="0" fillId="0" borderId="0"/>
  </cellStyleXfs>
  <cellXfs count="15">
    <xf numFmtId="0" fontId="0" fillId="0" borderId="0" xfId="0"/>
    <xf numFmtId="10" fontId="0" fillId="0" borderId="0" xfId="0" applyNumberFormat="1"/>
    <xf numFmtId="0" fontId="1" fillId="0" borderId="0" xfId="0" applyFont="1"/>
    <xf numFmtId="0" fontId="0" fillId="0" borderId="0" xfId="0" pivotButton="1"/>
    <xf numFmtId="0" fontId="0" fillId="0" borderId="0" xfId="0" applyAlignment="1">
      <alignment horizontal="left"/>
    </xf>
    <xf numFmtId="164" fontId="0" fillId="0" borderId="0" xfId="0" applyNumberFormat="1"/>
    <xf numFmtId="0" fontId="2" fillId="0" borderId="0" xfId="0" applyFont="1"/>
    <xf numFmtId="0" fontId="3" fillId="0" borderId="0" xfId="0" applyFont="1"/>
    <xf numFmtId="10" fontId="3" fillId="0" borderId="0" xfId="0" applyNumberFormat="1" applyFont="1"/>
    <xf numFmtId="0" fontId="4" fillId="0" borderId="0" xfId="0" applyFont="1"/>
    <xf numFmtId="10" fontId="4" fillId="0" borderId="0" xfId="0" applyNumberFormat="1" applyFont="1"/>
    <xf numFmtId="0" fontId="6" fillId="2" borderId="1" xfId="0" applyFont="1" applyFill="1" applyBorder="1"/>
    <xf numFmtId="0" fontId="0" fillId="3" borderId="0" xfId="0" applyFill="1"/>
    <xf numFmtId="0" fontId="0" fillId="4" borderId="2" xfId="0" applyFill="1" applyBorder="1"/>
    <xf numFmtId="165" fontId="0" fillId="0" borderId="0" xfId="0" applyNumberFormat="1"/>
  </cellXfs>
  <cellStyles count="1">
    <cellStyle name="Normal" xfId="0" builtinId="0"/>
  </cellStyles>
  <dxfs count="22">
    <dxf>
      <font>
        <strike val="0"/>
        <outline val="0"/>
        <shadow val="0"/>
        <u val="none"/>
        <vertAlign val="baseline"/>
        <sz val="11"/>
        <color theme="1"/>
        <name val="Arial"/>
        <family val="2"/>
        <scheme val="none"/>
      </font>
      <numFmt numFmtId="14" formatCode="0.00%"/>
    </dxf>
    <dxf>
      <font>
        <strike val="0"/>
        <outline val="0"/>
        <shadow val="0"/>
        <u val="none"/>
        <vertAlign val="baseline"/>
        <sz val="11"/>
        <color theme="1"/>
        <name val="Arial"/>
        <family val="2"/>
        <scheme val="none"/>
      </font>
      <numFmt numFmtId="14" formatCode="0.00%"/>
    </dxf>
    <dxf>
      <font>
        <strike val="0"/>
        <outline val="0"/>
        <shadow val="0"/>
        <u val="none"/>
        <vertAlign val="baseline"/>
        <sz val="11"/>
        <color theme="1"/>
        <name val="Arial"/>
        <family val="2"/>
        <scheme val="none"/>
      </font>
    </dxf>
    <dxf>
      <font>
        <strike val="0"/>
        <outline val="0"/>
        <shadow val="0"/>
        <u val="none"/>
        <vertAlign val="baseline"/>
        <sz val="11"/>
        <color theme="1"/>
        <name val="Arial"/>
        <family val="2"/>
        <scheme val="none"/>
      </font>
    </dxf>
    <dxf>
      <font>
        <strike val="0"/>
        <outline val="0"/>
        <shadow val="0"/>
        <u val="none"/>
        <vertAlign val="baseline"/>
        <sz val="11"/>
        <color theme="1"/>
        <name val="Arial"/>
        <family val="2"/>
        <scheme val="none"/>
      </font>
    </dxf>
    <dxf>
      <font>
        <strike val="0"/>
        <outline val="0"/>
        <shadow val="0"/>
        <u val="none"/>
        <vertAlign val="baseline"/>
        <sz val="11"/>
        <color theme="1"/>
        <name val="Arial"/>
        <family val="2"/>
        <scheme val="none"/>
      </font>
    </dxf>
    <dxf>
      <font>
        <strike val="0"/>
        <outline val="0"/>
        <shadow val="0"/>
        <u val="none"/>
        <vertAlign val="baseline"/>
        <sz val="11"/>
        <color theme="1"/>
        <name val="Arial"/>
        <family val="2"/>
        <scheme val="none"/>
      </font>
    </dxf>
    <dxf>
      <font>
        <strike val="0"/>
        <outline val="0"/>
        <shadow val="0"/>
        <u val="none"/>
        <vertAlign val="baseline"/>
        <sz val="11"/>
        <color theme="1"/>
        <name val="Arial"/>
        <family val="2"/>
        <scheme val="none"/>
      </font>
    </dxf>
    <dxf>
      <font>
        <strike val="0"/>
        <outline val="0"/>
        <shadow val="0"/>
        <u val="none"/>
        <vertAlign val="baseline"/>
        <sz val="11"/>
        <color theme="1"/>
        <name val="Arial"/>
        <family val="2"/>
        <scheme val="none"/>
      </font>
      <numFmt numFmtId="14" formatCode="0.00%"/>
    </dxf>
    <dxf>
      <font>
        <strike val="0"/>
        <outline val="0"/>
        <shadow val="0"/>
        <u val="none"/>
        <vertAlign val="baseline"/>
        <sz val="11"/>
        <color theme="1"/>
        <name val="Arial"/>
        <family val="2"/>
        <scheme val="none"/>
      </font>
    </dxf>
    <dxf>
      <font>
        <strike val="0"/>
        <outline val="0"/>
        <shadow val="0"/>
        <u val="none"/>
        <vertAlign val="baseline"/>
        <sz val="11"/>
        <color theme="1"/>
        <name val="Arial"/>
        <family val="2"/>
        <scheme val="none"/>
      </font>
    </dxf>
    <dxf>
      <font>
        <strike val="0"/>
        <outline val="0"/>
        <shadow val="0"/>
        <u val="none"/>
        <vertAlign val="baseline"/>
        <sz val="11"/>
        <color theme="1"/>
        <name val="Arial"/>
        <family val="2"/>
        <scheme val="none"/>
      </font>
    </dxf>
    <dxf>
      <font>
        <strike val="0"/>
        <outline val="0"/>
        <shadow val="0"/>
        <u val="none"/>
        <vertAlign val="baseline"/>
        <sz val="11"/>
        <color theme="1"/>
        <name val="Arial"/>
        <family val="2"/>
        <scheme val="none"/>
      </font>
    </dxf>
    <dxf>
      <font>
        <strike val="0"/>
        <outline val="0"/>
        <shadow val="0"/>
        <u val="none"/>
        <vertAlign val="baseline"/>
        <sz val="11"/>
        <color theme="1"/>
        <name val="Arial"/>
        <family val="2"/>
        <scheme val="none"/>
      </font>
    </dxf>
    <dxf>
      <font>
        <b/>
        <i val="0"/>
        <strike val="0"/>
        <condense val="0"/>
        <extend val="0"/>
        <outline val="0"/>
        <shadow val="0"/>
        <u val="none"/>
        <vertAlign val="baseline"/>
        <sz val="11"/>
        <color theme="1"/>
        <name val="Century Schoolbook"/>
        <family val="2"/>
        <scheme val="minor"/>
      </font>
    </dxf>
    <dxf>
      <numFmt numFmtId="164" formatCode="&quot;$&quot;#,##0"/>
    </dxf>
    <dxf>
      <numFmt numFmtId="0" formatCode="General"/>
    </dxf>
    <dxf>
      <alignment horizontal="left" vertical="bottom" textRotation="0" wrapText="0" indent="0" justifyLastLine="0" shrinkToFit="0" readingOrder="0"/>
    </dxf>
    <dxf>
      <border outline="0">
        <bottom style="thin">
          <color theme="4" tint="0.39997558519241921"/>
        </bottom>
      </border>
    </dxf>
    <dxf>
      <font>
        <b/>
        <i val="0"/>
        <strike val="0"/>
        <condense val="0"/>
        <extend val="0"/>
        <outline val="0"/>
        <shadow val="0"/>
        <u val="none"/>
        <vertAlign val="baseline"/>
        <sz val="11"/>
        <color theme="3"/>
        <name val="Century Schoolbook"/>
        <family val="2"/>
        <scheme val="minor"/>
      </font>
      <fill>
        <patternFill patternType="solid">
          <fgColor theme="4" tint="0.79998168889431442"/>
          <bgColor theme="4" tint="0.79998168889431442"/>
        </patternFill>
      </fill>
    </dxf>
    <dxf>
      <numFmt numFmtId="165" formatCode="_(* #,##0_);_(* \(#,##0\);_(* &quot;-&quot;??_);_(@_)"/>
    </dxf>
    <dxf>
      <numFmt numFmtId="165" formatCode="_(* #,##0_);_(* \(#,##0\);_(* &quot;-&quot;??_);_(@_)"/>
    </dxf>
  </dxfs>
  <tableStyles count="0" defaultTableStyle="TableStyleMedium2" defaultPivotStyle="PivotStyleLight16"/>
  <colors>
    <mruColors>
      <color rgb="FFCDFB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microsoft.com/office/2007/relationships/slicerCache" Target="slicerCaches/slicerCache3.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microsoft.com/office/2007/relationships/slicerCache" Target="slicerCaches/slicerCache2.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[601 Dashboard.xlsm]HomePrice!PivotTable12</c:name>
    <c:fmtId val="9"/>
  </c:pivotSource>
  <c:chart>
    <c:title>
      <c:tx>
        <c:rich>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r>
              <a:rPr lang="en-US" b="1"/>
              <a:t>Average Home Price</a:t>
            </a:r>
          </a:p>
        </c:rich>
      </c:tx>
      <c:overlay val="0"/>
      <c:spPr>
        <a:noFill/>
        <a:ln>
          <a:noFill/>
        </a:ln>
        <a:effectLst/>
      </c:spPr>
      <c:txPr>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endParaRPr lang="en-US"/>
        </a:p>
      </c:txPr>
    </c:title>
    <c:autoTitleDeleted val="0"/>
    <c:pivotFmts>
      <c:pivotFmt>
        <c:idx val="0"/>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3"/>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4"/>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pattFill prst="narHorz">
            <a:fgClr>
              <a:schemeClr val="accent1"/>
            </a:fgClr>
            <a:bgClr>
              <a:schemeClr val="accent1">
                <a:lumMod val="20000"/>
                <a:lumOff val="80000"/>
              </a:schemeClr>
            </a:bgClr>
          </a:pattFill>
          <a:ln>
            <a:noFill/>
          </a:ln>
          <a:effectLst>
            <a:innerShdw blurRad="114300">
              <a:schemeClr val="accent1"/>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HomePrice!$B$3</c:f>
              <c:strCache>
                <c:ptCount val="1"/>
                <c:pt idx="0">
                  <c:v>Total</c:v>
                </c:pt>
              </c:strCache>
            </c:strRef>
          </c:tx>
          <c:spPr>
            <a:pattFill prst="narHorz">
              <a:fgClr>
                <a:schemeClr val="accent1"/>
              </a:fgClr>
              <a:bgClr>
                <a:schemeClr val="accent1">
                  <a:lumMod val="20000"/>
                  <a:lumOff val="80000"/>
                </a:schemeClr>
              </a:bgClr>
            </a:pattFill>
            <a:ln>
              <a:noFill/>
            </a:ln>
            <a:effectLst>
              <a:innerShdw blurRad="114300">
                <a:schemeClr val="accent1"/>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HomePrice!$A$4:$A$24</c:f>
              <c:strCache>
                <c:ptCount val="20"/>
                <c:pt idx="0">
                  <c:v>Boston</c:v>
                </c:pt>
                <c:pt idx="1">
                  <c:v>New York</c:v>
                </c:pt>
                <c:pt idx="2">
                  <c:v>Chicago</c:v>
                </c:pt>
                <c:pt idx="3">
                  <c:v>Baltimore</c:v>
                </c:pt>
                <c:pt idx="4">
                  <c:v>Clevland</c:v>
                </c:pt>
                <c:pt idx="5">
                  <c:v>Dallas</c:v>
                </c:pt>
                <c:pt idx="6">
                  <c:v>Denver</c:v>
                </c:pt>
                <c:pt idx="7">
                  <c:v>Houston</c:v>
                </c:pt>
                <c:pt idx="8">
                  <c:v>Kansas City</c:v>
                </c:pt>
                <c:pt idx="9">
                  <c:v>Las Vegas</c:v>
                </c:pt>
                <c:pt idx="10">
                  <c:v>Manchester</c:v>
                </c:pt>
                <c:pt idx="11">
                  <c:v>Miami</c:v>
                </c:pt>
                <c:pt idx="12">
                  <c:v>Nashville</c:v>
                </c:pt>
                <c:pt idx="13">
                  <c:v>Orlando</c:v>
                </c:pt>
                <c:pt idx="14">
                  <c:v>Raleigh</c:v>
                </c:pt>
                <c:pt idx="15">
                  <c:v>Richmond</c:v>
                </c:pt>
                <c:pt idx="16">
                  <c:v>Tampa</c:v>
                </c:pt>
                <c:pt idx="17">
                  <c:v>Washington DC</c:v>
                </c:pt>
                <c:pt idx="18">
                  <c:v>Detroit</c:v>
                </c:pt>
                <c:pt idx="19">
                  <c:v>Philadelphia</c:v>
                </c:pt>
              </c:strCache>
            </c:strRef>
          </c:cat>
          <c:val>
            <c:numRef>
              <c:f>HomePrice!$B$4:$B$24</c:f>
              <c:numCache>
                <c:formatCode>"$"#,##0</c:formatCode>
                <c:ptCount val="20"/>
                <c:pt idx="0">
                  <c:v>656500</c:v>
                </c:pt>
                <c:pt idx="1">
                  <c:v>677200</c:v>
                </c:pt>
                <c:pt idx="2">
                  <c:v>284100</c:v>
                </c:pt>
                <c:pt idx="3">
                  <c:v>180200</c:v>
                </c:pt>
                <c:pt idx="4">
                  <c:v>97300</c:v>
                </c:pt>
                <c:pt idx="5">
                  <c:v>295100</c:v>
                </c:pt>
                <c:pt idx="6">
                  <c:v>576000</c:v>
                </c:pt>
                <c:pt idx="7">
                  <c:v>247900</c:v>
                </c:pt>
                <c:pt idx="8">
                  <c:v>222100</c:v>
                </c:pt>
                <c:pt idx="9">
                  <c:v>384000</c:v>
                </c:pt>
                <c:pt idx="10">
                  <c:v>348500</c:v>
                </c:pt>
                <c:pt idx="11">
                  <c:v>524600</c:v>
                </c:pt>
                <c:pt idx="12">
                  <c:v>413200</c:v>
                </c:pt>
                <c:pt idx="13">
                  <c:v>369400</c:v>
                </c:pt>
                <c:pt idx="14">
                  <c:v>472000</c:v>
                </c:pt>
                <c:pt idx="15">
                  <c:v>327100</c:v>
                </c:pt>
                <c:pt idx="16">
                  <c:v>38100</c:v>
                </c:pt>
                <c:pt idx="17">
                  <c:v>644900</c:v>
                </c:pt>
                <c:pt idx="18">
                  <c:v>71600</c:v>
                </c:pt>
                <c:pt idx="19">
                  <c:v>205900</c:v>
                </c:pt>
              </c:numCache>
            </c:numRef>
          </c:val>
          <c:extLst>
            <c:ext xmlns:c16="http://schemas.microsoft.com/office/drawing/2014/chart" uri="{C3380CC4-5D6E-409C-BE32-E72D297353CC}">
              <c16:uniqueId val="{00000000-8250-7C4F-BCFE-C04B430AB7A2}"/>
            </c:ext>
          </c:extLst>
        </c:ser>
        <c:dLbls>
          <c:dLblPos val="outEnd"/>
          <c:showLegendKey val="0"/>
          <c:showVal val="1"/>
          <c:showCatName val="0"/>
          <c:showSerName val="0"/>
          <c:showPercent val="0"/>
          <c:showBubbleSize val="0"/>
        </c:dLbls>
        <c:gapWidth val="164"/>
        <c:overlap val="-22"/>
        <c:axId val="1336971167"/>
        <c:axId val="1336965887"/>
      </c:barChart>
      <c:catAx>
        <c:axId val="1336971167"/>
        <c:scaling>
          <c:orientation val="minMax"/>
        </c:scaling>
        <c:delete val="0"/>
        <c:axPos val="b"/>
        <c:numFmt formatCode="General" sourceLinked="1"/>
        <c:majorTickMark val="none"/>
        <c:minorTickMark val="none"/>
        <c:tickLblPos val="nextTo"/>
        <c:spPr>
          <a:noFill/>
          <a:ln w="19050" cap="flat" cmpd="sng" algn="ctr">
            <a:solidFill>
              <a:schemeClr val="tx1">
                <a:lumMod val="25000"/>
                <a:lumOff val="7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336965887"/>
        <c:crosses val="autoZero"/>
        <c:auto val="1"/>
        <c:lblAlgn val="ctr"/>
        <c:lblOffset val="100"/>
        <c:noMultiLvlLbl val="0"/>
      </c:catAx>
      <c:valAx>
        <c:axId val="1336965887"/>
        <c:scaling>
          <c:orientation val="minMax"/>
        </c:scaling>
        <c:delete val="0"/>
        <c:axPos val="l"/>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33697116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[601 Dashboard.xlsm]HealthCare!PivotTable14</c:name>
    <c:fmtId val="16"/>
  </c:pivotSource>
  <c:chart>
    <c:title>
      <c:tx>
        <c:rich>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r>
              <a:rPr lang="en-US" sz="1400"/>
              <a:t>Number of Physicians per 100,000</a:t>
            </a:r>
          </a:p>
          <a:p>
            <a:pPr>
              <a:defRPr sz="1400"/>
            </a:pPr>
            <a:endParaRPr lang="en-US" sz="1400"/>
          </a:p>
        </c:rich>
      </c:tx>
      <c:layout>
        <c:manualLayout>
          <c:xMode val="edge"/>
          <c:yMode val="edge"/>
          <c:x val="0.25285938197010699"/>
          <c:y val="2.6747846933715888E-2"/>
        </c:manualLayout>
      </c:layout>
      <c:overlay val="0"/>
      <c:spPr>
        <a:noFill/>
        <a:ln>
          <a:noFill/>
        </a:ln>
        <a:effectLst/>
      </c:spPr>
      <c:txPr>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5"/>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gradFill flip="none" rotWithShape="1">
            <a:gsLst>
              <a:gs pos="0">
                <a:schemeClr val="accent1"/>
              </a:gs>
              <a:gs pos="75000">
                <a:schemeClr val="accent1">
                  <a:lumMod val="60000"/>
                  <a:lumOff val="40000"/>
                </a:schemeClr>
              </a:gs>
              <a:gs pos="51000">
                <a:schemeClr val="accent1">
                  <a:alpha val="75000"/>
                </a:schemeClr>
              </a:gs>
              <a:gs pos="100000">
                <a:schemeClr val="accent1">
                  <a:lumMod val="20000"/>
                  <a:lumOff val="80000"/>
                  <a:alpha val="15000"/>
                </a:schemeClr>
              </a:gs>
            </a:gsLst>
            <a:lin ang="10800000" scaled="1"/>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6378396662171599"/>
          <c:y val="0.14622601252411324"/>
          <c:w val="0.80726626986269545"/>
          <c:h val="0.77065821403620494"/>
        </c:manualLayout>
      </c:layout>
      <c:barChart>
        <c:barDir val="bar"/>
        <c:grouping val="clustered"/>
        <c:varyColors val="0"/>
        <c:ser>
          <c:idx val="0"/>
          <c:order val="0"/>
          <c:tx>
            <c:strRef>
              <c:f>HealthCare!$B$3</c:f>
              <c:strCache>
                <c:ptCount val="1"/>
                <c:pt idx="0">
                  <c:v>Total</c:v>
                </c:pt>
              </c:strCache>
            </c:strRef>
          </c:tx>
          <c:spPr>
            <a:gradFill flip="none" rotWithShape="1">
              <a:gsLst>
                <a:gs pos="0">
                  <a:schemeClr val="accent1"/>
                </a:gs>
                <a:gs pos="75000">
                  <a:schemeClr val="accent1">
                    <a:lumMod val="60000"/>
                    <a:lumOff val="40000"/>
                  </a:schemeClr>
                </a:gs>
                <a:gs pos="51000">
                  <a:schemeClr val="accent1">
                    <a:alpha val="75000"/>
                  </a:schemeClr>
                </a:gs>
                <a:gs pos="100000">
                  <a:schemeClr val="accent1">
                    <a:lumMod val="20000"/>
                    <a:lumOff val="80000"/>
                    <a:alpha val="15000"/>
                  </a:schemeClr>
                </a:gs>
              </a:gsLst>
              <a:lin ang="10800000" scaled="1"/>
              <a:tileRect/>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HealthCare!$A$4:$A$24</c:f>
              <c:strCache>
                <c:ptCount val="20"/>
                <c:pt idx="0">
                  <c:v>Boston</c:v>
                </c:pt>
                <c:pt idx="1">
                  <c:v>New York</c:v>
                </c:pt>
                <c:pt idx="2">
                  <c:v>Chicago</c:v>
                </c:pt>
                <c:pt idx="3">
                  <c:v>Baltimore</c:v>
                </c:pt>
                <c:pt idx="4">
                  <c:v>Clevland</c:v>
                </c:pt>
                <c:pt idx="5">
                  <c:v>Dallas</c:v>
                </c:pt>
                <c:pt idx="6">
                  <c:v>Denver</c:v>
                </c:pt>
                <c:pt idx="7">
                  <c:v>Houston</c:v>
                </c:pt>
                <c:pt idx="8">
                  <c:v>Kansas City</c:v>
                </c:pt>
                <c:pt idx="9">
                  <c:v>Las Vegas</c:v>
                </c:pt>
                <c:pt idx="10">
                  <c:v>Manchester</c:v>
                </c:pt>
                <c:pt idx="11">
                  <c:v>Miami</c:v>
                </c:pt>
                <c:pt idx="12">
                  <c:v>Nashville</c:v>
                </c:pt>
                <c:pt idx="13">
                  <c:v>Orlando</c:v>
                </c:pt>
                <c:pt idx="14">
                  <c:v>Raleigh</c:v>
                </c:pt>
                <c:pt idx="15">
                  <c:v>Richmond</c:v>
                </c:pt>
                <c:pt idx="16">
                  <c:v>Tampa</c:v>
                </c:pt>
                <c:pt idx="17">
                  <c:v>Washington DC</c:v>
                </c:pt>
                <c:pt idx="18">
                  <c:v>Detroit</c:v>
                </c:pt>
                <c:pt idx="19">
                  <c:v>Philadelphia</c:v>
                </c:pt>
              </c:strCache>
            </c:strRef>
          </c:cat>
          <c:val>
            <c:numRef>
              <c:f>HealthCare!$B$4:$B$24</c:f>
              <c:numCache>
                <c:formatCode>General</c:formatCode>
                <c:ptCount val="20"/>
                <c:pt idx="0">
                  <c:v>554</c:v>
                </c:pt>
                <c:pt idx="1">
                  <c:v>151</c:v>
                </c:pt>
                <c:pt idx="2">
                  <c:v>261</c:v>
                </c:pt>
                <c:pt idx="3">
                  <c:v>372</c:v>
                </c:pt>
                <c:pt idx="4">
                  <c:v>399</c:v>
                </c:pt>
                <c:pt idx="5">
                  <c:v>210</c:v>
                </c:pt>
                <c:pt idx="6">
                  <c:v>368</c:v>
                </c:pt>
                <c:pt idx="7">
                  <c:v>185</c:v>
                </c:pt>
                <c:pt idx="8">
                  <c:v>205</c:v>
                </c:pt>
                <c:pt idx="9">
                  <c:v>154</c:v>
                </c:pt>
                <c:pt idx="10">
                  <c:v>223</c:v>
                </c:pt>
                <c:pt idx="11">
                  <c:v>228</c:v>
                </c:pt>
                <c:pt idx="12">
                  <c:v>347</c:v>
                </c:pt>
                <c:pt idx="13">
                  <c:v>204</c:v>
                </c:pt>
                <c:pt idx="14">
                  <c:v>206</c:v>
                </c:pt>
                <c:pt idx="15">
                  <c:v>374</c:v>
                </c:pt>
                <c:pt idx="16">
                  <c:v>243</c:v>
                </c:pt>
                <c:pt idx="17">
                  <c:v>417</c:v>
                </c:pt>
                <c:pt idx="18">
                  <c:v>187</c:v>
                </c:pt>
                <c:pt idx="19">
                  <c:v>243</c:v>
                </c:pt>
              </c:numCache>
            </c:numRef>
          </c:val>
          <c:extLst>
            <c:ext xmlns:c16="http://schemas.microsoft.com/office/drawing/2014/chart" uri="{C3380CC4-5D6E-409C-BE32-E72D297353CC}">
              <c16:uniqueId val="{00000000-A01E-3044-A97F-467486A719B7}"/>
            </c:ext>
          </c:extLst>
        </c:ser>
        <c:dLbls>
          <c:dLblPos val="outEnd"/>
          <c:showLegendKey val="0"/>
          <c:showVal val="1"/>
          <c:showCatName val="0"/>
          <c:showSerName val="0"/>
          <c:showPercent val="0"/>
          <c:showBubbleSize val="0"/>
        </c:dLbls>
        <c:gapWidth val="326"/>
        <c:overlap val="-58"/>
        <c:axId val="1212949423"/>
        <c:axId val="1212948943"/>
      </c:barChart>
      <c:catAx>
        <c:axId val="1212949423"/>
        <c:scaling>
          <c:orientation val="minMax"/>
        </c:scaling>
        <c:delete val="0"/>
        <c:axPos val="l"/>
        <c:numFmt formatCode="General" sourceLinked="1"/>
        <c:majorTickMark val="none"/>
        <c:minorTickMark val="none"/>
        <c:tickLblPos val="nextTo"/>
        <c:spPr>
          <a:noFill/>
          <a:ln w="19050" cap="flat" cmpd="sng" algn="ctr">
            <a:solidFill>
              <a:schemeClr val="tx1">
                <a:lumMod val="15000"/>
                <a:lumOff val="85000"/>
              </a:schemeClr>
            </a:solidFill>
            <a:round/>
            <a:headEnd type="none" w="sm" len="sm"/>
            <a:tailEnd type="none" w="sm" len="sm"/>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2948943"/>
        <c:crosses val="autoZero"/>
        <c:auto val="1"/>
        <c:lblAlgn val="ctr"/>
        <c:lblOffset val="100"/>
        <c:noMultiLvlLbl val="0"/>
      </c:catAx>
      <c:valAx>
        <c:axId val="1212948943"/>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294942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[601 Dashboard.xlsm]UnemploymentRate!PivotTable16</c:name>
    <c:fmtId val="17"/>
  </c:pivotSource>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a:t>UNEMPLOYEMENT</a:t>
            </a:r>
            <a:r>
              <a:rPr lang="en-US" baseline="0"/>
              <a:t> RATE</a:t>
            </a:r>
            <a:endParaRPr lang="en-US"/>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ln w="34925" cap="rnd">
            <a:solidFill>
              <a:schemeClr val="accent1"/>
            </a:solidFill>
            <a:round/>
          </a:ln>
          <a:effectLst>
            <a:outerShdw blurRad="76200" dist="25400" dir="5400000" algn="tl" rotWithShape="0">
              <a:srgbClr val="000000">
                <a:alpha val="55000"/>
              </a:srgbClr>
            </a:outerShdw>
          </a:effectLst>
        </c:spPr>
        <c:marker>
          <c:symbol val="circle"/>
          <c:size val="6"/>
          <c:spPr>
            <a:solidFill>
              <a:schemeClr val="accent1">
                <a:shade val="75000"/>
                <a:satMod val="160000"/>
              </a:schemeClr>
            </a:solidFill>
            <a:ln w="9525">
              <a:solidFill>
                <a:schemeClr val="accent1"/>
              </a:solidFill>
              <a:round/>
            </a:ln>
            <a:effectLst>
              <a:outerShdw blurRad="76200" dist="25400" dir="5400000" algn="tl" rotWithShape="0">
                <a:srgbClr val="000000">
                  <a:alpha val="55000"/>
                </a:srgbClr>
              </a:outerShdw>
            </a:effectLst>
            <a:scene3d>
              <a:camera prst="orthographicFront">
                <a:rot lat="0" lon="0" rev="0"/>
              </a:camera>
              <a:lightRig rig="brightRoom" dir="tl"/>
            </a:scene3d>
            <a:sp3d contourW="19050" prstMaterial="flat">
              <a:bevelT w="0" h="0" prst="coolSlant"/>
              <a:contourClr>
                <a:scrgbClr r="0" g="0" b="0">
                  <a:shade val="25000"/>
                  <a:satMod val="140000"/>
                </a:scrgbClr>
              </a:contourClr>
            </a:sp3d>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6663941682345736E-2"/>
          <c:y val="9.8066499461082091E-2"/>
          <c:w val="0.94316541738628623"/>
          <c:h val="0.72790088191891533"/>
        </c:manualLayout>
      </c:layout>
      <c:lineChart>
        <c:grouping val="standard"/>
        <c:varyColors val="0"/>
        <c:ser>
          <c:idx val="0"/>
          <c:order val="0"/>
          <c:tx>
            <c:strRef>
              <c:f>UnemploymentRate!$B$3</c:f>
              <c:strCache>
                <c:ptCount val="1"/>
                <c:pt idx="0">
                  <c:v>Total</c:v>
                </c:pt>
              </c:strCache>
            </c:strRef>
          </c:tx>
          <c:spPr>
            <a:ln w="34925" cap="rnd">
              <a:solidFill>
                <a:schemeClr val="accent1"/>
              </a:solidFill>
              <a:round/>
            </a:ln>
            <a:effectLst>
              <a:outerShdw blurRad="76200" dist="25400" dir="5400000" algn="tl" rotWithShape="0">
                <a:srgbClr val="000000">
                  <a:alpha val="55000"/>
                </a:srgbClr>
              </a:outerShdw>
            </a:effectLst>
          </c:spPr>
          <c:marker>
            <c:symbol val="circle"/>
            <c:size val="6"/>
            <c:spPr>
              <a:solidFill>
                <a:schemeClr val="accent1">
                  <a:shade val="75000"/>
                  <a:satMod val="160000"/>
                </a:schemeClr>
              </a:solidFill>
              <a:ln w="9525">
                <a:solidFill>
                  <a:schemeClr val="accent1"/>
                </a:solidFill>
                <a:round/>
              </a:ln>
              <a:effectLst>
                <a:outerShdw blurRad="76200" dist="25400" dir="5400000" algn="tl" rotWithShape="0">
                  <a:srgbClr val="000000">
                    <a:alpha val="55000"/>
                  </a:srgbClr>
                </a:outerShdw>
              </a:effectLst>
              <a:scene3d>
                <a:camera prst="orthographicFront">
                  <a:rot lat="0" lon="0" rev="0"/>
                </a:camera>
                <a:lightRig rig="brightRoom" dir="tl"/>
              </a:scene3d>
              <a:sp3d contourW="19050" prstMaterial="flat">
                <a:bevelT w="0" h="0" prst="coolSlant"/>
                <a:contourClr>
                  <a:scrgbClr r="0" g="0" b="0">
                    <a:shade val="25000"/>
                    <a:satMod val="140000"/>
                  </a:scrgbClr>
                </a:contourClr>
              </a:sp3d>
            </c:spPr>
          </c:marker>
          <c:trendline>
            <c:spPr>
              <a:ln w="19050" cap="rnd">
                <a:solidFill>
                  <a:schemeClr val="accent1"/>
                </a:solidFill>
              </a:ln>
              <a:effectLst/>
            </c:spPr>
            <c:trendlineType val="linear"/>
            <c:dispRSqr val="0"/>
            <c:dispEq val="0"/>
          </c:trendline>
          <c:cat>
            <c:strRef>
              <c:f>UnemploymentRate!$A$4:$A$24</c:f>
              <c:strCache>
                <c:ptCount val="20"/>
                <c:pt idx="0">
                  <c:v>Boston</c:v>
                </c:pt>
                <c:pt idx="1">
                  <c:v>New York</c:v>
                </c:pt>
                <c:pt idx="2">
                  <c:v>Chicago</c:v>
                </c:pt>
                <c:pt idx="3">
                  <c:v>Baltimore</c:v>
                </c:pt>
                <c:pt idx="4">
                  <c:v>Clevland</c:v>
                </c:pt>
                <c:pt idx="5">
                  <c:v>Dallas</c:v>
                </c:pt>
                <c:pt idx="6">
                  <c:v>Denver</c:v>
                </c:pt>
                <c:pt idx="7">
                  <c:v>Houston</c:v>
                </c:pt>
                <c:pt idx="8">
                  <c:v>Kansas City</c:v>
                </c:pt>
                <c:pt idx="9">
                  <c:v>Las Vegas</c:v>
                </c:pt>
                <c:pt idx="10">
                  <c:v>Manchester</c:v>
                </c:pt>
                <c:pt idx="11">
                  <c:v>Miami</c:v>
                </c:pt>
                <c:pt idx="12">
                  <c:v>Nashville</c:v>
                </c:pt>
                <c:pt idx="13">
                  <c:v>Orlando</c:v>
                </c:pt>
                <c:pt idx="14">
                  <c:v>Raleigh</c:v>
                </c:pt>
                <c:pt idx="15">
                  <c:v>Richmond</c:v>
                </c:pt>
                <c:pt idx="16">
                  <c:v>Tampa</c:v>
                </c:pt>
                <c:pt idx="17">
                  <c:v>Washington DC</c:v>
                </c:pt>
                <c:pt idx="18">
                  <c:v>Detroit</c:v>
                </c:pt>
                <c:pt idx="19">
                  <c:v>Philadelphia</c:v>
                </c:pt>
              </c:strCache>
            </c:strRef>
          </c:cat>
          <c:val>
            <c:numRef>
              <c:f>UnemploymentRate!$B$4:$B$24</c:f>
              <c:numCache>
                <c:formatCode>0.00%</c:formatCode>
                <c:ptCount val="20"/>
                <c:pt idx="0">
                  <c:v>6.2E-2</c:v>
                </c:pt>
                <c:pt idx="1">
                  <c:v>0.112</c:v>
                </c:pt>
                <c:pt idx="2">
                  <c:v>0.09</c:v>
                </c:pt>
                <c:pt idx="3">
                  <c:v>7.9000000000000001E-2</c:v>
                </c:pt>
                <c:pt idx="4">
                  <c:v>6.8000000000000005E-2</c:v>
                </c:pt>
                <c:pt idx="5">
                  <c:v>7.3999999999999996E-2</c:v>
                </c:pt>
                <c:pt idx="6">
                  <c:v>7.0999999999999994E-2</c:v>
                </c:pt>
                <c:pt idx="7">
                  <c:v>0.08</c:v>
                </c:pt>
                <c:pt idx="8">
                  <c:v>5.2999999999999999E-2</c:v>
                </c:pt>
                <c:pt idx="9">
                  <c:v>8.900000000000001E-2</c:v>
                </c:pt>
                <c:pt idx="10">
                  <c:v>3.7999999999999999E-2</c:v>
                </c:pt>
                <c:pt idx="11">
                  <c:v>8.3000000000000004E-2</c:v>
                </c:pt>
                <c:pt idx="12">
                  <c:v>4.4999999999999998E-2</c:v>
                </c:pt>
                <c:pt idx="13">
                  <c:v>5.7999999999999996E-2</c:v>
                </c:pt>
                <c:pt idx="14">
                  <c:v>4.2999999999999997E-2</c:v>
                </c:pt>
                <c:pt idx="15">
                  <c:v>7.0999999999999994E-2</c:v>
                </c:pt>
                <c:pt idx="16">
                  <c:v>0.05</c:v>
                </c:pt>
                <c:pt idx="17">
                  <c:v>7.0000000000000007E-2</c:v>
                </c:pt>
                <c:pt idx="18">
                  <c:v>9.6000000000000002E-2</c:v>
                </c:pt>
                <c:pt idx="19">
                  <c:v>0.106</c:v>
                </c:pt>
              </c:numCache>
            </c:numRef>
          </c:val>
          <c:smooth val="0"/>
          <c:extLst>
            <c:ext xmlns:c16="http://schemas.microsoft.com/office/drawing/2014/chart" uri="{C3380CC4-5D6E-409C-BE32-E72D297353CC}">
              <c16:uniqueId val="{00000001-9D70-234D-9F07-63652DC0F803}"/>
            </c:ext>
          </c:extLst>
        </c:ser>
        <c:dLbls>
          <c:showLegendKey val="0"/>
          <c:showVal val="0"/>
          <c:showCatName val="0"/>
          <c:showSerName val="0"/>
          <c:showPercent val="0"/>
          <c:showBubbleSize val="0"/>
        </c:dLbls>
        <c:marker val="1"/>
        <c:smooth val="0"/>
        <c:axId val="1336983167"/>
        <c:axId val="1336983647"/>
      </c:lineChart>
      <c:catAx>
        <c:axId val="1336983167"/>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36983647"/>
        <c:crosses val="autoZero"/>
        <c:auto val="1"/>
        <c:lblAlgn val="ctr"/>
        <c:lblOffset val="100"/>
        <c:noMultiLvlLbl val="0"/>
      </c:catAx>
      <c:valAx>
        <c:axId val="1336983647"/>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3698316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[601 Dashboard.xlsm]Education!PivotTable4</c:name>
    <c:fmtId val="3"/>
  </c:pivotSource>
  <c:chart>
    <c:autoTitleDeleted val="1"/>
    <c:pivotFmts>
      <c:pivotFmt>
        <c:idx val="0"/>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Education!$B$1</c:f>
              <c:strCache>
                <c:ptCount val="1"/>
                <c:pt idx="0">
                  <c:v>Total</c:v>
                </c:pt>
              </c:strCache>
            </c:strRef>
          </c:tx>
          <c:spPr>
            <a:solidFill>
              <a:schemeClr val="accent1">
                <a:alpha val="70000"/>
              </a:schemeClr>
            </a:solidFill>
            <a:ln>
              <a:noFill/>
            </a:ln>
            <a:effectLst/>
          </c:spPr>
          <c:invertIfNegative val="0"/>
          <c:cat>
            <c:strRef>
              <c:f>Education!$A$2:$A$22</c:f>
              <c:strCache>
                <c:ptCount val="20"/>
                <c:pt idx="0">
                  <c:v>Boston</c:v>
                </c:pt>
                <c:pt idx="1">
                  <c:v>New York</c:v>
                </c:pt>
                <c:pt idx="2">
                  <c:v>Chicago</c:v>
                </c:pt>
                <c:pt idx="3">
                  <c:v>Baltimore</c:v>
                </c:pt>
                <c:pt idx="4">
                  <c:v>Clevland</c:v>
                </c:pt>
                <c:pt idx="5">
                  <c:v>Dallas</c:v>
                </c:pt>
                <c:pt idx="6">
                  <c:v>Denver</c:v>
                </c:pt>
                <c:pt idx="7">
                  <c:v>Detroit</c:v>
                </c:pt>
                <c:pt idx="8">
                  <c:v>Houston</c:v>
                </c:pt>
                <c:pt idx="9">
                  <c:v>Kansas City</c:v>
                </c:pt>
                <c:pt idx="10">
                  <c:v>Las Vegas</c:v>
                </c:pt>
                <c:pt idx="11">
                  <c:v>Manchester</c:v>
                </c:pt>
                <c:pt idx="12">
                  <c:v>Miami</c:v>
                </c:pt>
                <c:pt idx="13">
                  <c:v>Nashville</c:v>
                </c:pt>
                <c:pt idx="14">
                  <c:v>Orlando</c:v>
                </c:pt>
                <c:pt idx="15">
                  <c:v>Philadelphia</c:v>
                </c:pt>
                <c:pt idx="16">
                  <c:v>Raleigh</c:v>
                </c:pt>
                <c:pt idx="17">
                  <c:v>Richmond</c:v>
                </c:pt>
                <c:pt idx="18">
                  <c:v>Tampa</c:v>
                </c:pt>
                <c:pt idx="19">
                  <c:v>Washington DC</c:v>
                </c:pt>
              </c:strCache>
            </c:strRef>
          </c:cat>
          <c:val>
            <c:numRef>
              <c:f>Education!$B$2:$B$22</c:f>
              <c:numCache>
                <c:formatCode>_(* #,##0_);_(* \(#,##0\);_(* "-"??_);_(@_)</c:formatCode>
                <c:ptCount val="20"/>
                <c:pt idx="0">
                  <c:v>23918</c:v>
                </c:pt>
                <c:pt idx="1">
                  <c:v>18855</c:v>
                </c:pt>
                <c:pt idx="2">
                  <c:v>18508</c:v>
                </c:pt>
                <c:pt idx="3">
                  <c:v>16085</c:v>
                </c:pt>
                <c:pt idx="4">
                  <c:v>15425</c:v>
                </c:pt>
                <c:pt idx="5">
                  <c:v>10291</c:v>
                </c:pt>
                <c:pt idx="6">
                  <c:v>12519</c:v>
                </c:pt>
                <c:pt idx="7">
                  <c:v>12521</c:v>
                </c:pt>
                <c:pt idx="8">
                  <c:v>10139</c:v>
                </c:pt>
                <c:pt idx="9">
                  <c:v>12022</c:v>
                </c:pt>
                <c:pt idx="10">
                  <c:v>9498</c:v>
                </c:pt>
                <c:pt idx="11">
                  <c:v>15747</c:v>
                </c:pt>
                <c:pt idx="12">
                  <c:v>10524</c:v>
                </c:pt>
                <c:pt idx="13">
                  <c:v>11966</c:v>
                </c:pt>
                <c:pt idx="14">
                  <c:v>10437</c:v>
                </c:pt>
                <c:pt idx="15">
                  <c:v>14192</c:v>
                </c:pt>
                <c:pt idx="16">
                  <c:v>9531</c:v>
                </c:pt>
                <c:pt idx="17">
                  <c:v>14373</c:v>
                </c:pt>
                <c:pt idx="18">
                  <c:v>9438</c:v>
                </c:pt>
                <c:pt idx="19">
                  <c:v>23069</c:v>
                </c:pt>
              </c:numCache>
            </c:numRef>
          </c:val>
          <c:extLst>
            <c:ext xmlns:c16="http://schemas.microsoft.com/office/drawing/2014/chart" uri="{C3380CC4-5D6E-409C-BE32-E72D297353CC}">
              <c16:uniqueId val="{00000000-85DB-43B1-BBC5-029C26F1F27F}"/>
            </c:ext>
          </c:extLst>
        </c:ser>
        <c:dLbls>
          <c:showLegendKey val="0"/>
          <c:showVal val="0"/>
          <c:showCatName val="0"/>
          <c:showSerName val="0"/>
          <c:showPercent val="0"/>
          <c:showBubbleSize val="0"/>
        </c:dLbls>
        <c:gapWidth val="80"/>
        <c:overlap val="25"/>
        <c:axId val="886629600"/>
        <c:axId val="886629960"/>
      </c:barChart>
      <c:catAx>
        <c:axId val="886629600"/>
        <c:scaling>
          <c:orientation val="minMax"/>
        </c:scaling>
        <c:delete val="0"/>
        <c:axPos val="b"/>
        <c:numFmt formatCode="General" sourceLinked="1"/>
        <c:majorTickMark val="out"/>
        <c:minorTickMark val="none"/>
        <c:tickLblPos val="nextTo"/>
        <c:spPr>
          <a:noFill/>
          <a:ln w="1587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cap="none" spc="20" normalizeH="0" baseline="0">
                <a:solidFill>
                  <a:schemeClr val="tx1">
                    <a:lumMod val="65000"/>
                    <a:lumOff val="35000"/>
                  </a:schemeClr>
                </a:solidFill>
                <a:latin typeface="+mn-lt"/>
                <a:ea typeface="+mn-ea"/>
                <a:cs typeface="+mn-cs"/>
              </a:defRPr>
            </a:pPr>
            <a:endParaRPr lang="en-US"/>
          </a:p>
        </c:txPr>
        <c:crossAx val="886629960"/>
        <c:crosses val="autoZero"/>
        <c:auto val="1"/>
        <c:lblAlgn val="ctr"/>
        <c:lblOffset val="100"/>
        <c:noMultiLvlLbl val="0"/>
      </c:catAx>
      <c:valAx>
        <c:axId val="886629960"/>
        <c:scaling>
          <c:orientation val="minMax"/>
        </c:scaling>
        <c:delete val="0"/>
        <c:axPos val="l"/>
        <c:numFmt formatCode="_(* #,##0_);_(* \(#,##0\);_(* &quot;-&quot;??_);_(@_)"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tx1">
                    <a:lumMod val="65000"/>
                    <a:lumOff val="35000"/>
                  </a:schemeClr>
                </a:solidFill>
                <a:latin typeface="+mn-lt"/>
                <a:ea typeface="+mn-ea"/>
                <a:cs typeface="+mn-cs"/>
              </a:defRPr>
            </a:pPr>
            <a:endParaRPr lang="en-US"/>
          </a:p>
        </c:txPr>
        <c:crossAx val="88662960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[601 Dashboard.xlsm]Population!PivotTable3</c:name>
    <c:fmtId val="4"/>
  </c:pivotSource>
  <c:chart>
    <c:autoTitleDeleted val="1"/>
    <c:pivotFmts>
      <c:pivotFmt>
        <c:idx val="0"/>
        <c:spPr>
          <a:solidFill>
            <a:schemeClr val="accent1">
              <a:shade val="75000"/>
              <a:satMod val="160000"/>
            </a:schemeClr>
          </a:solidFill>
          <a:ln>
            <a:noFill/>
          </a:ln>
          <a:effectLst>
            <a:outerShdw blurRad="50800" dist="15240" dir="5400000" algn="tl" rotWithShape="0">
              <a:srgbClr val="000000">
                <a:alpha val="75000"/>
              </a:srgbClr>
            </a:outerShdw>
          </a:effectLst>
          <a:scene3d>
            <a:camera prst="orthographicFront">
              <a:rot lat="0" lon="0" rev="0"/>
            </a:camera>
            <a:lightRig rig="brightRoom" dir="tl"/>
          </a:scene3d>
          <a:sp3d contourW="9525" prstMaterial="flat">
            <a:bevelT w="0" h="0" prst="coolSlant"/>
            <a:contourClr>
              <a:scrgbClr r="0" g="0" b="0">
                <a:shade val="35000"/>
                <a:satMod val="130000"/>
              </a:scrgbClr>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022875295431982"/>
          <c:y val="0.11518520537530959"/>
          <c:w val="0.83608864485027146"/>
          <c:h val="0.63545665232131054"/>
        </c:manualLayout>
      </c:layout>
      <c:barChart>
        <c:barDir val="col"/>
        <c:grouping val="clustered"/>
        <c:varyColors val="0"/>
        <c:ser>
          <c:idx val="0"/>
          <c:order val="0"/>
          <c:tx>
            <c:strRef>
              <c:f>Population!$B$1</c:f>
              <c:strCache>
                <c:ptCount val="1"/>
                <c:pt idx="0">
                  <c:v>Total</c:v>
                </c:pt>
              </c:strCache>
            </c:strRef>
          </c:tx>
          <c:spPr>
            <a:solidFill>
              <a:schemeClr val="accent1">
                <a:shade val="75000"/>
                <a:satMod val="160000"/>
              </a:schemeClr>
            </a:solidFill>
            <a:ln>
              <a:noFill/>
            </a:ln>
            <a:effectLst>
              <a:outerShdw blurRad="50800" dist="15240" dir="5400000" algn="tl" rotWithShape="0">
                <a:srgbClr val="000000">
                  <a:alpha val="75000"/>
                </a:srgbClr>
              </a:outerShdw>
            </a:effectLst>
            <a:scene3d>
              <a:camera prst="orthographicFront">
                <a:rot lat="0" lon="0" rev="0"/>
              </a:camera>
              <a:lightRig rig="brightRoom" dir="tl"/>
            </a:scene3d>
            <a:sp3d contourW="9525" prstMaterial="flat">
              <a:bevelT w="0" h="0" prst="coolSlant"/>
              <a:contourClr>
                <a:scrgbClr r="0" g="0" b="0">
                  <a:shade val="35000"/>
                  <a:satMod val="130000"/>
                </a:scrgbClr>
              </a:contourClr>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2">
                          <a:lumMod val="35000"/>
                          <a:lumOff val="65000"/>
                        </a:schemeClr>
                      </a:solidFill>
                    </a:ln>
                    <a:effectLst/>
                  </c:spPr>
                </c15:leaderLines>
              </c:ext>
            </c:extLst>
          </c:dLbls>
          <c:cat>
            <c:strRef>
              <c:f>Population!$A$2:$A$22</c:f>
              <c:strCache>
                <c:ptCount val="20"/>
                <c:pt idx="0">
                  <c:v>Boston</c:v>
                </c:pt>
                <c:pt idx="1">
                  <c:v>New York</c:v>
                </c:pt>
                <c:pt idx="2">
                  <c:v>Chicago</c:v>
                </c:pt>
                <c:pt idx="3">
                  <c:v>Baltimore</c:v>
                </c:pt>
                <c:pt idx="4">
                  <c:v>Clevland</c:v>
                </c:pt>
                <c:pt idx="5">
                  <c:v>Dallas</c:v>
                </c:pt>
                <c:pt idx="6">
                  <c:v>Denver</c:v>
                </c:pt>
                <c:pt idx="7">
                  <c:v>Detroit</c:v>
                </c:pt>
                <c:pt idx="8">
                  <c:v>Houston</c:v>
                </c:pt>
                <c:pt idx="9">
                  <c:v>Kansas City</c:v>
                </c:pt>
                <c:pt idx="10">
                  <c:v>Las Vegas</c:v>
                </c:pt>
                <c:pt idx="11">
                  <c:v>Manchester</c:v>
                </c:pt>
                <c:pt idx="12">
                  <c:v>Miami</c:v>
                </c:pt>
                <c:pt idx="13">
                  <c:v>Nashville</c:v>
                </c:pt>
                <c:pt idx="14">
                  <c:v>Orlando</c:v>
                </c:pt>
                <c:pt idx="15">
                  <c:v>Philadelphia</c:v>
                </c:pt>
                <c:pt idx="16">
                  <c:v>Raleigh</c:v>
                </c:pt>
                <c:pt idx="17">
                  <c:v>Richmond</c:v>
                </c:pt>
                <c:pt idx="18">
                  <c:v>Tampa</c:v>
                </c:pt>
                <c:pt idx="19">
                  <c:v>Washington DC</c:v>
                </c:pt>
              </c:strCache>
            </c:strRef>
          </c:cat>
          <c:val>
            <c:numRef>
              <c:f>Population!$B$2:$B$22</c:f>
              <c:numCache>
                <c:formatCode>_(* #,##0_);_(* \(#,##0\);_(* "-"??_);_(@_)</c:formatCode>
                <c:ptCount val="20"/>
                <c:pt idx="0">
                  <c:v>672814</c:v>
                </c:pt>
                <c:pt idx="1">
                  <c:v>8736047</c:v>
                </c:pt>
                <c:pt idx="2">
                  <c:v>2742119</c:v>
                </c:pt>
                <c:pt idx="3">
                  <c:v>592211</c:v>
                </c:pt>
                <c:pt idx="4">
                  <c:v>374861</c:v>
                </c:pt>
                <c:pt idx="5">
                  <c:v>1300239</c:v>
                </c:pt>
                <c:pt idx="6">
                  <c:v>706799</c:v>
                </c:pt>
                <c:pt idx="7">
                  <c:v>645658</c:v>
                </c:pt>
                <c:pt idx="8">
                  <c:v>2293288</c:v>
                </c:pt>
                <c:pt idx="9">
                  <c:v>502597</c:v>
                </c:pt>
                <c:pt idx="10">
                  <c:v>634786</c:v>
                </c:pt>
                <c:pt idx="11">
                  <c:v>114730</c:v>
                </c:pt>
                <c:pt idx="12">
                  <c:v>440807</c:v>
                </c:pt>
                <c:pt idx="13">
                  <c:v>682646</c:v>
                </c:pt>
                <c:pt idx="14">
                  <c:v>302968</c:v>
                </c:pt>
                <c:pt idx="15">
                  <c:v>1596865</c:v>
                </c:pt>
                <c:pt idx="16">
                  <c:v>462219</c:v>
                </c:pt>
                <c:pt idx="17">
                  <c:v>225676</c:v>
                </c:pt>
                <c:pt idx="18">
                  <c:v>380447</c:v>
                </c:pt>
                <c:pt idx="19">
                  <c:v>683154</c:v>
                </c:pt>
              </c:numCache>
            </c:numRef>
          </c:val>
          <c:extLst>
            <c:ext xmlns:c16="http://schemas.microsoft.com/office/drawing/2014/chart" uri="{C3380CC4-5D6E-409C-BE32-E72D297353CC}">
              <c16:uniqueId val="{00000000-6B7C-4156-ADB7-0C05CD84BAB8}"/>
            </c:ext>
          </c:extLst>
        </c:ser>
        <c:dLbls>
          <c:dLblPos val="outEnd"/>
          <c:showLegendKey val="0"/>
          <c:showVal val="1"/>
          <c:showCatName val="0"/>
          <c:showSerName val="0"/>
          <c:showPercent val="0"/>
          <c:showBubbleSize val="0"/>
        </c:dLbls>
        <c:gapWidth val="100"/>
        <c:overlap val="-24"/>
        <c:axId val="1377923696"/>
        <c:axId val="1377919376"/>
      </c:barChart>
      <c:catAx>
        <c:axId val="1377923696"/>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1377919376"/>
        <c:crosses val="autoZero"/>
        <c:auto val="1"/>
        <c:lblAlgn val="ctr"/>
        <c:lblOffset val="100"/>
        <c:noMultiLvlLbl val="0"/>
      </c:catAx>
      <c:valAx>
        <c:axId val="1377919376"/>
        <c:scaling>
          <c:orientation val="minMax"/>
        </c:scaling>
        <c:delete val="0"/>
        <c:axPos val="l"/>
        <c:majorGridlines>
          <c:spPr>
            <a:ln w="9525" cap="flat" cmpd="sng" algn="ctr">
              <a:solidFill>
                <a:schemeClr val="tx2">
                  <a:lumMod val="15000"/>
                  <a:lumOff val="85000"/>
                </a:schemeClr>
              </a:solidFill>
              <a:round/>
            </a:ln>
            <a:effectLst/>
          </c:spPr>
        </c:majorGridlines>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137792369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view3D>
      <c:rotX val="0"/>
      <c:rotY val="0"/>
      <c:depthPercent val="60"/>
      <c:rAngAx val="0"/>
      <c:perspective val="100"/>
    </c:view3D>
    <c:floor>
      <c:thickness val="0"/>
      <c:spPr>
        <a:solidFill>
          <a:schemeClr val="lt1">
            <a:lumMod val="95000"/>
          </a:schemeClr>
        </a:solid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Climate!$B$1</c:f>
              <c:strCache>
                <c:ptCount val="1"/>
                <c:pt idx="0">
                  <c:v>Climate</c:v>
                </c:pt>
              </c:strCache>
            </c:strRef>
          </c:tx>
          <c:spPr>
            <a:solidFill>
              <a:schemeClr val="accent1">
                <a:alpha val="85000"/>
              </a:schemeClr>
            </a:solidFill>
            <a:ln w="9525" cap="flat" cmpd="sng" algn="ctr">
              <a:solidFill>
                <a:schemeClr val="accent1">
                  <a:lumMod val="75000"/>
                </a:schemeClr>
              </a:solidFill>
              <a:round/>
            </a:ln>
            <a:effectLst/>
            <a:sp3d contourW="9525">
              <a:contourClr>
                <a:schemeClr val="accent1">
                  <a:lumMod val="75000"/>
                </a:schemeClr>
              </a:contourClr>
            </a:sp3d>
          </c:spPr>
          <c:invertIfNegative val="0"/>
          <c:cat>
            <c:strRef>
              <c:f>Climate!$A$2:$A$21</c:f>
              <c:strCache>
                <c:ptCount val="20"/>
                <c:pt idx="0">
                  <c:v>Boston</c:v>
                </c:pt>
                <c:pt idx="1">
                  <c:v>New York</c:v>
                </c:pt>
                <c:pt idx="2">
                  <c:v>Chicago</c:v>
                </c:pt>
                <c:pt idx="3">
                  <c:v>Baltimore</c:v>
                </c:pt>
                <c:pt idx="4">
                  <c:v>Clevland</c:v>
                </c:pt>
                <c:pt idx="5">
                  <c:v>Dallas</c:v>
                </c:pt>
                <c:pt idx="6">
                  <c:v>Denver</c:v>
                </c:pt>
                <c:pt idx="7">
                  <c:v>Detroit</c:v>
                </c:pt>
                <c:pt idx="8">
                  <c:v>Houston</c:v>
                </c:pt>
                <c:pt idx="9">
                  <c:v>Kansas City</c:v>
                </c:pt>
                <c:pt idx="10">
                  <c:v>Las Vegas</c:v>
                </c:pt>
                <c:pt idx="11">
                  <c:v>Manchester</c:v>
                </c:pt>
                <c:pt idx="12">
                  <c:v>Miami</c:v>
                </c:pt>
                <c:pt idx="13">
                  <c:v>Nashville</c:v>
                </c:pt>
                <c:pt idx="14">
                  <c:v>Orlando</c:v>
                </c:pt>
                <c:pt idx="15">
                  <c:v>Philladelphia</c:v>
                </c:pt>
                <c:pt idx="16">
                  <c:v>Raleigh</c:v>
                </c:pt>
                <c:pt idx="17">
                  <c:v>Richmond</c:v>
                </c:pt>
                <c:pt idx="18">
                  <c:v>Tampa</c:v>
                </c:pt>
                <c:pt idx="19">
                  <c:v>Washington DC</c:v>
                </c:pt>
              </c:strCache>
            </c:strRef>
          </c:cat>
          <c:val>
            <c:numRef>
              <c:f>Climate!$B$2:$B$21</c:f>
              <c:numCache>
                <c:formatCode>General</c:formatCode>
                <c:ptCount val="20"/>
                <c:pt idx="0">
                  <c:v>6.9</c:v>
                </c:pt>
                <c:pt idx="1">
                  <c:v>7.3</c:v>
                </c:pt>
                <c:pt idx="2">
                  <c:v>7</c:v>
                </c:pt>
                <c:pt idx="3">
                  <c:v>7.3</c:v>
                </c:pt>
                <c:pt idx="4">
                  <c:v>6.8</c:v>
                </c:pt>
                <c:pt idx="5">
                  <c:v>7.1</c:v>
                </c:pt>
                <c:pt idx="6">
                  <c:v>7.3</c:v>
                </c:pt>
                <c:pt idx="7">
                  <c:v>6.9</c:v>
                </c:pt>
                <c:pt idx="8">
                  <c:v>6.6</c:v>
                </c:pt>
                <c:pt idx="9">
                  <c:v>7.2</c:v>
                </c:pt>
                <c:pt idx="10">
                  <c:v>7.4</c:v>
                </c:pt>
                <c:pt idx="11">
                  <c:v>6.8</c:v>
                </c:pt>
                <c:pt idx="12">
                  <c:v>6.4</c:v>
                </c:pt>
                <c:pt idx="13">
                  <c:v>7.3</c:v>
                </c:pt>
                <c:pt idx="14">
                  <c:v>6.7</c:v>
                </c:pt>
                <c:pt idx="15">
                  <c:v>7.3</c:v>
                </c:pt>
                <c:pt idx="16">
                  <c:v>7.5</c:v>
                </c:pt>
                <c:pt idx="17">
                  <c:v>7.3</c:v>
                </c:pt>
                <c:pt idx="18">
                  <c:v>6.8</c:v>
                </c:pt>
                <c:pt idx="19">
                  <c:v>7.3</c:v>
                </c:pt>
              </c:numCache>
            </c:numRef>
          </c:val>
          <c:extLst>
            <c:ext xmlns:c16="http://schemas.microsoft.com/office/drawing/2014/chart" uri="{C3380CC4-5D6E-409C-BE32-E72D297353CC}">
              <c16:uniqueId val="{00000000-35C4-4792-A6AF-FDD4DF47C892}"/>
            </c:ext>
          </c:extLst>
        </c:ser>
        <c:dLbls>
          <c:showLegendKey val="0"/>
          <c:showVal val="0"/>
          <c:showCatName val="0"/>
          <c:showSerName val="0"/>
          <c:showPercent val="0"/>
          <c:showBubbleSize val="0"/>
        </c:dLbls>
        <c:gapWidth val="65"/>
        <c:shape val="box"/>
        <c:axId val="1377929456"/>
        <c:axId val="1377932816"/>
        <c:axId val="0"/>
      </c:bar3DChart>
      <c:catAx>
        <c:axId val="1377929456"/>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1377932816"/>
        <c:crosses val="autoZero"/>
        <c:auto val="1"/>
        <c:lblAlgn val="ctr"/>
        <c:lblOffset val="100"/>
        <c:noMultiLvlLbl val="0"/>
      </c:catAx>
      <c:valAx>
        <c:axId val="1377932816"/>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137792945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[601 Dashboard.xlsm]EconomicalFactors!PivotTable11</c:name>
    <c:fmtId val="0"/>
  </c:pivotSource>
  <c:chart>
    <c:autoTitleDeleted val="0"/>
    <c:pivotFmts>
      <c:pivotFmt>
        <c:idx val="0"/>
        <c:spPr>
          <a:solidFill>
            <a:schemeClr val="accent1">
              <a:shade val="75000"/>
              <a:satMod val="160000"/>
            </a:schemeClr>
          </a:solidFill>
          <a:ln>
            <a:noFill/>
          </a:ln>
          <a:effectLst>
            <a:outerShdw blurRad="76200" dist="25400" dir="5400000" algn="tl" rotWithShape="0">
              <a:srgbClr val="000000">
                <a:alpha val="55000"/>
              </a:srgbClr>
            </a:outerShdw>
          </a:effectLst>
          <a:scene3d>
            <a:camera prst="orthographicFront">
              <a:rot lat="0" lon="0" rev="0"/>
            </a:camera>
            <a:lightRig rig="brightRoom" dir="tl"/>
          </a:scene3d>
          <a:sp3d contourW="19050" prstMaterial="flat">
            <a:bevelT w="0" h="0" prst="coolSlant"/>
            <a:contourClr>
              <a:scrgbClr r="0" g="0" b="0">
                <a:shade val="25000"/>
                <a:satMod val="140000"/>
              </a:scrgbClr>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hade val="75000"/>
              <a:satMod val="160000"/>
            </a:schemeClr>
          </a:solidFill>
          <a:ln>
            <a:noFill/>
          </a:ln>
          <a:effectLst>
            <a:outerShdw blurRad="76200" dist="25400" dir="5400000" algn="tl" rotWithShape="0">
              <a:srgbClr val="000000">
                <a:alpha val="55000"/>
              </a:srgbClr>
            </a:outerShdw>
          </a:effectLst>
          <a:scene3d>
            <a:camera prst="orthographicFront">
              <a:rot lat="0" lon="0" rev="0"/>
            </a:camera>
            <a:lightRig rig="brightRoom" dir="tl"/>
          </a:scene3d>
          <a:sp3d contourW="19050" prstMaterial="flat">
            <a:bevelT w="0" h="0" prst="coolSlant"/>
            <a:contourClr>
              <a:scrgbClr r="0" g="0" b="0">
                <a:shade val="25000"/>
                <a:satMod val="140000"/>
              </a:scrgbClr>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EconomicalFactors!$B$3</c:f>
              <c:strCache>
                <c:ptCount val="1"/>
                <c:pt idx="0">
                  <c:v>Sum of Avg Home Price</c:v>
                </c:pt>
              </c:strCache>
            </c:strRef>
          </c:tx>
          <c:spPr>
            <a:solidFill>
              <a:schemeClr val="accent1">
                <a:shade val="75000"/>
                <a:satMod val="160000"/>
              </a:schemeClr>
            </a:solidFill>
            <a:ln>
              <a:noFill/>
            </a:ln>
            <a:effectLst>
              <a:outerShdw blurRad="76200" dist="25400" dir="5400000" algn="tl" rotWithShape="0">
                <a:srgbClr val="000000">
                  <a:alpha val="55000"/>
                </a:srgbClr>
              </a:outerShdw>
            </a:effectLst>
            <a:scene3d>
              <a:camera prst="orthographicFront">
                <a:rot lat="0" lon="0" rev="0"/>
              </a:camera>
              <a:lightRig rig="brightRoom" dir="tl"/>
            </a:scene3d>
            <a:sp3d contourW="19050" prstMaterial="flat">
              <a:bevelT w="0" h="0" prst="coolSlant"/>
              <a:contourClr>
                <a:scrgbClr r="0" g="0" b="0">
                  <a:shade val="25000"/>
                  <a:satMod val="140000"/>
                </a:scrgbClr>
              </a:contourClr>
            </a:sp3d>
          </c:spPr>
          <c:invertIfNegative val="0"/>
          <c:cat>
            <c:strRef>
              <c:f>EconomicalFactors!$A$4:$A$5</c:f>
              <c:strCache>
                <c:ptCount val="1"/>
                <c:pt idx="0">
                  <c:v>Nashville</c:v>
                </c:pt>
              </c:strCache>
            </c:strRef>
          </c:cat>
          <c:val>
            <c:numRef>
              <c:f>EconomicalFactors!$B$4:$B$5</c:f>
              <c:numCache>
                <c:formatCode>General</c:formatCode>
                <c:ptCount val="1"/>
                <c:pt idx="0">
                  <c:v>413200</c:v>
                </c:pt>
              </c:numCache>
            </c:numRef>
          </c:val>
          <c:extLst>
            <c:ext xmlns:c16="http://schemas.microsoft.com/office/drawing/2014/chart" uri="{C3380CC4-5D6E-409C-BE32-E72D297353CC}">
              <c16:uniqueId val="{00000000-3D17-4E89-A9AA-2254CD98DF6C}"/>
            </c:ext>
          </c:extLst>
        </c:ser>
        <c:ser>
          <c:idx val="1"/>
          <c:order val="1"/>
          <c:tx>
            <c:strRef>
              <c:f>EconomicalFactors!$C$3</c:f>
              <c:strCache>
                <c:ptCount val="1"/>
                <c:pt idx="0">
                  <c:v>Sum of Median Income</c:v>
                </c:pt>
              </c:strCache>
            </c:strRef>
          </c:tx>
          <c:spPr>
            <a:solidFill>
              <a:schemeClr val="accent2">
                <a:shade val="75000"/>
                <a:satMod val="160000"/>
              </a:schemeClr>
            </a:solidFill>
            <a:ln>
              <a:noFill/>
            </a:ln>
            <a:effectLst>
              <a:outerShdw blurRad="76200" dist="25400" dir="5400000" algn="tl" rotWithShape="0">
                <a:srgbClr val="000000">
                  <a:alpha val="55000"/>
                </a:srgbClr>
              </a:outerShdw>
            </a:effectLst>
            <a:scene3d>
              <a:camera prst="orthographicFront">
                <a:rot lat="0" lon="0" rev="0"/>
              </a:camera>
              <a:lightRig rig="brightRoom" dir="tl"/>
            </a:scene3d>
            <a:sp3d contourW="19050" prstMaterial="flat">
              <a:bevelT w="0" h="0" prst="coolSlant"/>
              <a:contourClr>
                <a:scrgbClr r="0" g="0" b="0">
                  <a:shade val="25000"/>
                  <a:satMod val="140000"/>
                </a:scrgbClr>
              </a:contourClr>
            </a:sp3d>
          </c:spPr>
          <c:invertIfNegative val="0"/>
          <c:cat>
            <c:strRef>
              <c:f>EconomicalFactors!$A$4:$A$5</c:f>
              <c:strCache>
                <c:ptCount val="1"/>
                <c:pt idx="0">
                  <c:v>Nashville</c:v>
                </c:pt>
              </c:strCache>
            </c:strRef>
          </c:cat>
          <c:val>
            <c:numRef>
              <c:f>EconomicalFactors!$C$4:$C$5</c:f>
              <c:numCache>
                <c:formatCode>General</c:formatCode>
                <c:ptCount val="1"/>
                <c:pt idx="0">
                  <c:v>65565</c:v>
                </c:pt>
              </c:numCache>
            </c:numRef>
          </c:val>
          <c:extLst>
            <c:ext xmlns:c16="http://schemas.microsoft.com/office/drawing/2014/chart" uri="{C3380CC4-5D6E-409C-BE32-E72D297353CC}">
              <c16:uniqueId val="{00000001-3D17-4E89-A9AA-2254CD98DF6C}"/>
            </c:ext>
          </c:extLst>
        </c:ser>
        <c:dLbls>
          <c:showLegendKey val="0"/>
          <c:showVal val="0"/>
          <c:showCatName val="0"/>
          <c:showSerName val="0"/>
          <c:showPercent val="0"/>
          <c:showBubbleSize val="0"/>
        </c:dLbls>
        <c:gapWidth val="100"/>
        <c:overlap val="-24"/>
        <c:axId val="204663679"/>
        <c:axId val="204651199"/>
      </c:barChart>
      <c:catAx>
        <c:axId val="204663679"/>
        <c:scaling>
          <c:orientation val="minMax"/>
        </c:scaling>
        <c:delete val="0"/>
        <c:axPos val="b"/>
        <c:numFmt formatCode="General" sourceLinked="1"/>
        <c:majorTickMark val="out"/>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4651199"/>
        <c:crosses val="autoZero"/>
        <c:auto val="1"/>
        <c:lblAlgn val="ctr"/>
        <c:lblOffset val="100"/>
        <c:noMultiLvlLbl val="0"/>
      </c:catAx>
      <c:valAx>
        <c:axId val="204651199"/>
        <c:scaling>
          <c:orientation val="minMax"/>
        </c:scaling>
        <c:delete val="0"/>
        <c:axPos val="l"/>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466367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withinLinear" id="14">
  <a:schemeClr val="accent1"/>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3">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
  <cs:dataPoint3D>
    <cs:lnRef idx="0"/>
    <cs:fillRef idx="0">
      <cs:styleClr val="auto"/>
    </cs:fillRef>
    <cs:effectRef idx="0"/>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23">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19050" cap="flat" cmpd="sng" algn="ctr">
        <a:solidFill>
          <a:schemeClr val="tx1">
            <a:lumMod val="15000"/>
            <a:lumOff val="85000"/>
          </a:schemeClr>
        </a:solidFill>
        <a:round/>
        <a:headEnd type="none" w="sm" len="sm"/>
        <a:tailEnd type="none" w="sm" len="sm"/>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10800000" scaled="1"/>
        <a:tileRect/>
      </a:gradFill>
    </cs:spPr>
  </cs:dataPoint>
  <cs:dataPoint3D>
    <cs:lnRef idx="0"/>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10800000" scaled="1"/>
        <a:tileRect/>
      </a:gradFill>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styleClr val="auto"/>
    </cs:lnRef>
    <cs:fillRef idx="0">
      <cs:styleClr val="auto"/>
    </cs:fillRef>
    <cs:effectRef idx="0"/>
    <cs:fontRef idx="minor">
      <a:schemeClr val="dk1"/>
    </cs:fontRef>
    <cs:spPr>
      <a:gradFill>
        <a:gsLst>
          <a:gs pos="0">
            <a:schemeClr val="phClr"/>
          </a:gs>
          <a:gs pos="46000">
            <a:schemeClr val="phClr"/>
          </a:gs>
          <a:gs pos="100000">
            <a:schemeClr val="phClr">
              <a:lumMod val="20000"/>
              <a:lumOff val="80000"/>
              <a:alpha val="0"/>
            </a:schemeClr>
          </a:gs>
        </a:gsLst>
        <a:path path="circle">
          <a:fillToRect l="50000" t="-80000" r="50000" b="180000"/>
        </a:path>
      </a:gradFill>
      <a:ln w="9525" cap="flat" cmpd="sng" algn="ctr">
        <a:solidFill>
          <a:schemeClr val="phClr">
            <a:shade val="95000"/>
          </a:scheme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cap="flat" cmpd="sng" algn="ctr">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99000">
              <a:schemeClr val="tx1">
                <a:lumMod val="25000"/>
                <a:lumOff val="75000"/>
              </a:schemeClr>
            </a:gs>
            <a:gs pos="0">
              <a:schemeClr val="tx1">
                <a:lumMod val="15000"/>
                <a:lumOff val="8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tx1">
                <a:lumMod val="15000"/>
                <a:lumOff val="85000"/>
              </a:schemeClr>
            </a:gs>
            <a:gs pos="0">
              <a:schemeClr val="tx1">
                <a:lumMod val="5000"/>
                <a:lumOff val="95000"/>
              </a:schemeClr>
            </a:gs>
          </a:gsLst>
          <a:lin ang="5400000" scaled="0"/>
        </a:gradFill>
        <a:round/>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headEnd type="none" w="sm" len="sm"/>
        <a:tailEnd type="none" w="sm" len="sm"/>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800" b="1" kern="1200" cap="all" spc="5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342">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4.xml><?xml version="1.0" encoding="utf-8"?>
<cs:chartStyle xmlns:cs="http://schemas.microsoft.com/office/drawing/2012/chartStyle" xmlns:a="http://schemas.openxmlformats.org/drawingml/2006/main" id="21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15875" cap="flat" cmpd="sng" algn="ctr">
        <a:solidFill>
          <a:schemeClr val="tx1">
            <a:lumMod val="25000"/>
            <a:lumOff val="75000"/>
          </a:schemeClr>
        </a:solidFill>
        <a:round/>
      </a:ln>
    </cs:spPr>
    <cs:defRPr sz="900" kern="1200" cap="none" spc="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70000"/>
        </a:schemeClr>
      </a:solidFill>
    </cs:spPr>
  </cs:dataPoint>
  <cs:dataPoint3D>
    <cs:lnRef idx="0"/>
    <cs:fillRef idx="0">
      <cs:styleClr val="auto"/>
    </cs:fillRef>
    <cs:effectRef idx="0"/>
    <cs:fontRef idx="minor">
      <a:schemeClr val="dk1"/>
    </cs:fontRef>
    <cs:spPr>
      <a:solidFill>
        <a:schemeClr val="phClr">
          <a:alpha val="70000"/>
        </a:schemeClr>
      </a:solidFill>
    </cs:spPr>
  </cs:dataPoint3D>
  <cs:dataPointLine>
    <cs:lnRef idx="0">
      <cs:styleClr val="auto"/>
    </cs:lnRef>
    <cs:fillRef idx="0"/>
    <cs:effectRef idx="0"/>
    <cs:fontRef idx="minor">
      <a:schemeClr val="dk1"/>
    </cs:fontRef>
    <cs:spPr>
      <a:ln w="28575" cap="rnd">
        <a:solidFill>
          <a:schemeClr val="phClr">
            <a:alpha val="70000"/>
          </a:schemeClr>
        </a:solidFill>
        <a:round/>
      </a:ln>
    </cs:spPr>
  </cs:dataPointLine>
  <cs:dataPointMarker>
    <cs:lnRef idx="0"/>
    <cs:fillRef idx="0">
      <cs:styleClr val="auto"/>
    </cs:fillRef>
    <cs:effectRef idx="0"/>
    <cs:fontRef idx="minor">
      <a:schemeClr val="dk1"/>
    </cs:fontRef>
    <cs:spPr>
      <a:solidFill>
        <a:schemeClr val="phClr">
          <a:alpha val="70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5000"/>
            <a:lumOff val="9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baseline="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1600" b="0" i="0" kern="1200" cap="none" spc="50" normalizeH="0" baseline="0"/>
  </cs:title>
  <cs:trendline>
    <cs:lnRef idx="0">
      <cs:styleClr val="auto"/>
    </cs:lnRef>
    <cs:fillRef idx="0"/>
    <cs:effectRef idx="0"/>
    <cs:fontRef idx="minor">
      <a:schemeClr val="dk1"/>
    </cs:fontRef>
    <cs:spPr>
      <a:ln w="1587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spc="20" baseline="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6.xml><?xml version="1.0" encoding="utf-8"?>
<cs:chartStyle xmlns:cs="http://schemas.microsoft.com/office/drawing/2012/chartStyle" xmlns:a="http://schemas.openxmlformats.org/drawingml/2006/main" id="28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dk1"/>
    </cs:fontRef>
    <cs:spPr>
      <a:solidFill>
        <a:schemeClr val="phClr">
          <a:alpha val="85000"/>
        </a:schemeClr>
      </a:solidFill>
      <a:ln w="9525" cap="flat" cmpd="sng" algn="ctr">
        <a:solidFill>
          <a:schemeClr val="phClr">
            <a:lumMod val="75000"/>
          </a:schemeClr>
        </a:solidFill>
        <a:round/>
      </a:ln>
    </cs:spPr>
  </cs:dataPoint>
  <cs:dataPoint3D>
    <cs:lnRef idx="0">
      <cs:styleClr val="auto"/>
    </cs:lnRef>
    <cs:fillRef idx="0">
      <cs:styleClr val="auto"/>
    </cs:fillRef>
    <cs:effectRef idx="0">
      <cs:styleClr val="auto"/>
    </cs:effectRef>
    <cs:fontRef idx="minor">
      <a:schemeClr val="dk1"/>
    </cs:fontRef>
    <cs:spPr>
      <a:solidFill>
        <a:schemeClr val="phClr">
          <a:alpha val="85000"/>
        </a:schemeClr>
      </a:solidFill>
      <a:ln w="9525" cap="flat" cmpd="sng" algn="ctr">
        <a:solidFill>
          <a:schemeClr val="phClr">
            <a:lumMod val="75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spPr>
      <a:solidFill>
        <a:schemeClr val="lt1">
          <a:lumMod val="95000"/>
        </a:schemeClr>
      </a:solidFill>
      <a:sp3d/>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340">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chart" Target="../charts/chart1.xml"/><Relationship Id="rId1" Type="http://schemas.openxmlformats.org/officeDocument/2006/relationships/image" Target="../media/image1.jpeg"/><Relationship Id="rId4" Type="http://schemas.openxmlformats.org/officeDocument/2006/relationships/chart" Target="../charts/chart3.xml"/></Relationships>
</file>

<file path=xl/drawings/_rels/drawing2.xml.rels><?xml version="1.0" encoding="UTF-8" standalone="yes"?>
<Relationships xmlns="http://schemas.openxmlformats.org/package/2006/relationships"><Relationship Id="rId1"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chart" Target="../charts/chart5.xml"/></Relationships>
</file>

<file path=xl/drawings/_rels/drawing4.xml.rels><?xml version="1.0" encoding="UTF-8" standalone="yes"?>
<Relationships xmlns="http://schemas.openxmlformats.org/package/2006/relationships"><Relationship Id="rId1" Type="http://schemas.openxmlformats.org/officeDocument/2006/relationships/chart" Target="../charts/chart6.xml"/></Relationships>
</file>

<file path=xl/drawings/_rels/drawing5.xml.rels><?xml version="1.0" encoding="UTF-8" standalone="yes"?>
<Relationships xmlns="http://schemas.openxmlformats.org/package/2006/relationships"><Relationship Id="rId1"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30</xdr:col>
      <xdr:colOff>80817</xdr:colOff>
      <xdr:row>72</xdr:row>
      <xdr:rowOff>11546</xdr:rowOff>
    </xdr:to>
    <xdr:pic>
      <xdr:nvPicPr>
        <xdr:cNvPr id="18" name="Picture 17">
          <a:extLst>
            <a:ext uri="{FF2B5EF4-FFF2-40B4-BE49-F238E27FC236}">
              <a16:creationId xmlns:a16="http://schemas.microsoft.com/office/drawing/2014/main" id="{DAD1D2CD-A846-9EA0-B013-9FCF3D61A209}"/>
            </a:ext>
          </a:extLst>
        </xdr:cNvPr>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t="8917" r="-251"/>
        <a:stretch/>
      </xdr:blipFill>
      <xdr:spPr bwMode="auto">
        <a:xfrm>
          <a:off x="0" y="1"/>
          <a:ext cx="23056272" cy="1248063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12700</xdr:colOff>
      <xdr:row>1</xdr:row>
      <xdr:rowOff>12700</xdr:rowOff>
    </xdr:from>
    <xdr:to>
      <xdr:col>27</xdr:col>
      <xdr:colOff>0</xdr:colOff>
      <xdr:row>7</xdr:row>
      <xdr:rowOff>12700</xdr:rowOff>
    </xdr:to>
    <xdr:sp macro="" textlink="">
      <xdr:nvSpPr>
        <xdr:cNvPr id="2" name="Rectangle 1">
          <a:extLst>
            <a:ext uri="{FF2B5EF4-FFF2-40B4-BE49-F238E27FC236}">
              <a16:creationId xmlns:a16="http://schemas.microsoft.com/office/drawing/2014/main" id="{D469F9E6-AE82-2E35-9B05-D46F5775310C}"/>
            </a:ext>
          </a:extLst>
        </xdr:cNvPr>
        <xdr:cNvSpPr/>
      </xdr:nvSpPr>
      <xdr:spPr>
        <a:xfrm>
          <a:off x="190500" y="190500"/>
          <a:ext cx="18148300" cy="1066800"/>
        </a:xfrm>
        <a:prstGeom prst="rect">
          <a:avLst/>
        </a:prstGeom>
        <a:solidFill>
          <a:schemeClr val="accent1"/>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4400" b="1" kern="1200">
              <a:solidFill>
                <a:schemeClr val="tx2">
                  <a:lumMod val="50000"/>
                </a:schemeClr>
              </a:solidFill>
              <a:latin typeface="Cambria" panose="02040503050406030204" pitchFamily="18" charset="0"/>
              <a:cs typeface="Aldhabi" panose="020F0502020204030204" pitchFamily="34" charset="0"/>
            </a:rPr>
            <a:t>Best Place</a:t>
          </a:r>
          <a:r>
            <a:rPr lang="en-US" sz="4400" b="1" kern="1200" baseline="0">
              <a:solidFill>
                <a:schemeClr val="tx2">
                  <a:lumMod val="50000"/>
                </a:schemeClr>
              </a:solidFill>
              <a:latin typeface="Cambria" panose="02040503050406030204" pitchFamily="18" charset="0"/>
              <a:cs typeface="Aldhabi" panose="020F0502020204030204" pitchFamily="34" charset="0"/>
            </a:rPr>
            <a:t> to Live and Work In United States Of America</a:t>
          </a:r>
          <a:endParaRPr lang="en-US" sz="4400" b="1" kern="1200">
            <a:solidFill>
              <a:schemeClr val="tx2">
                <a:lumMod val="50000"/>
              </a:schemeClr>
            </a:solidFill>
            <a:latin typeface="Cambria" panose="02040503050406030204" pitchFamily="18" charset="0"/>
          </a:endParaRPr>
        </a:p>
      </xdr:txBody>
    </xdr:sp>
    <xdr:clientData/>
  </xdr:twoCellAnchor>
  <xdr:twoCellAnchor editAs="oneCell">
    <xdr:from>
      <xdr:col>1</xdr:col>
      <xdr:colOff>153334</xdr:colOff>
      <xdr:row>23</xdr:row>
      <xdr:rowOff>30339</xdr:rowOff>
    </xdr:from>
    <xdr:to>
      <xdr:col>3</xdr:col>
      <xdr:colOff>756959</xdr:colOff>
      <xdr:row>46</xdr:row>
      <xdr:rowOff>157712</xdr:rowOff>
    </xdr:to>
    <mc:AlternateContent xmlns:mc="http://schemas.openxmlformats.org/markup-compatibility/2006" xmlns:a14="http://schemas.microsoft.com/office/drawing/2010/main">
      <mc:Choice Requires="a14">
        <xdr:graphicFrame macro="">
          <xdr:nvGraphicFramePr>
            <xdr:cNvPr id="4" name="Cities 1">
              <a:extLst>
                <a:ext uri="{FF2B5EF4-FFF2-40B4-BE49-F238E27FC236}">
                  <a16:creationId xmlns:a16="http://schemas.microsoft.com/office/drawing/2014/main" id="{52F26D44-46A3-DC40-A328-CB8BD9D865B9}"/>
                </a:ext>
              </a:extLst>
            </xdr:cNvPr>
            <xdr:cNvGraphicFramePr/>
          </xdr:nvGraphicFramePr>
          <xdr:xfrm>
            <a:off x="0" y="0"/>
            <a:ext cx="0" cy="0"/>
          </xdr:xfrm>
          <a:graphic>
            <a:graphicData uri="http://schemas.microsoft.com/office/drawing/2010/slicer">
              <sle:slicer xmlns:sle="http://schemas.microsoft.com/office/drawing/2010/slicer" name="Cities 1"/>
            </a:graphicData>
          </a:graphic>
        </xdr:graphicFrame>
      </mc:Choice>
      <mc:Fallback xmlns="">
        <xdr:sp macro="" textlink="">
          <xdr:nvSpPr>
            <xdr:cNvPr id="0" name=""/>
            <xdr:cNvSpPr>
              <a:spLocks noTextEdit="1"/>
            </xdr:cNvSpPr>
          </xdr:nvSpPr>
          <xdr:spPr>
            <a:xfrm>
              <a:off x="328972" y="4070020"/>
              <a:ext cx="2224902" cy="416705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788807</xdr:colOff>
      <xdr:row>22</xdr:row>
      <xdr:rowOff>132584</xdr:rowOff>
    </xdr:from>
    <xdr:to>
      <xdr:col>10</xdr:col>
      <xdr:colOff>771625</xdr:colOff>
      <xdr:row>47</xdr:row>
      <xdr:rowOff>26331</xdr:rowOff>
    </xdr:to>
    <mc:AlternateContent xmlns:mc="http://schemas.openxmlformats.org/markup-compatibility/2006" xmlns:a14="http://schemas.microsoft.com/office/drawing/2010/main">
      <mc:Choice Requires="a14">
        <xdr:graphicFrame macro="">
          <xdr:nvGraphicFramePr>
            <xdr:cNvPr id="5" name="Cities 2">
              <a:extLst>
                <a:ext uri="{FF2B5EF4-FFF2-40B4-BE49-F238E27FC236}">
                  <a16:creationId xmlns:a16="http://schemas.microsoft.com/office/drawing/2014/main" id="{10EBE272-D232-6E4F-A8F7-74E4E84DE50E}"/>
                </a:ext>
              </a:extLst>
            </xdr:cNvPr>
            <xdr:cNvGraphicFramePr/>
          </xdr:nvGraphicFramePr>
          <xdr:xfrm>
            <a:off x="0" y="0"/>
            <a:ext cx="0" cy="0"/>
          </xdr:xfrm>
          <a:graphic>
            <a:graphicData uri="http://schemas.microsoft.com/office/drawing/2010/slicer">
              <sle:slicer xmlns:sle="http://schemas.microsoft.com/office/drawing/2010/slicer" name="Cities 2"/>
            </a:graphicData>
          </a:graphic>
        </xdr:graphicFrame>
      </mc:Choice>
      <mc:Fallback xmlns="">
        <xdr:sp macro="" textlink="">
          <xdr:nvSpPr>
            <xdr:cNvPr id="0" name=""/>
            <xdr:cNvSpPr>
              <a:spLocks noTextEdit="1"/>
            </xdr:cNvSpPr>
          </xdr:nvSpPr>
          <xdr:spPr>
            <a:xfrm>
              <a:off x="5821182" y="3974334"/>
              <a:ext cx="2411693" cy="42593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81058</xdr:colOff>
      <xdr:row>12</xdr:row>
      <xdr:rowOff>12965</xdr:rowOff>
    </xdr:from>
    <xdr:to>
      <xdr:col>3</xdr:col>
      <xdr:colOff>762000</xdr:colOff>
      <xdr:row>18</xdr:row>
      <xdr:rowOff>265</xdr:rowOff>
    </xdr:to>
    <xdr:sp macro="" textlink="">
      <xdr:nvSpPr>
        <xdr:cNvPr id="6" name="Rectangle: Rounded Corners 5">
          <a:extLst>
            <a:ext uri="{FF2B5EF4-FFF2-40B4-BE49-F238E27FC236}">
              <a16:creationId xmlns:a16="http://schemas.microsoft.com/office/drawing/2014/main" id="{3A40D775-D67E-4F0F-3555-E4B7F424D80D}"/>
            </a:ext>
          </a:extLst>
        </xdr:cNvPr>
        <xdr:cNvSpPr/>
      </xdr:nvSpPr>
      <xdr:spPr>
        <a:xfrm>
          <a:off x="257447" y="2129632"/>
          <a:ext cx="2303720" cy="1045633"/>
        </a:xfrm>
        <a:prstGeom prst="roundRect">
          <a:avLst/>
        </a:prstGeom>
        <a:solidFill>
          <a:schemeClr val="accent1"/>
        </a:solidFill>
        <a:ln>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1600" b="1">
              <a:latin typeface="Arial" panose="020B0604020202020204" pitchFamily="34" charset="0"/>
              <a:cs typeface="Arial" panose="020B0604020202020204" pitchFamily="34" charset="0"/>
            </a:rPr>
            <a:t>Choose a </a:t>
          </a:r>
          <a:r>
            <a:rPr lang="en-US" sz="1600" b="1">
              <a:solidFill>
                <a:schemeClr val="lt1"/>
              </a:solidFill>
              <a:latin typeface="Arial" panose="020B0604020202020204" pitchFamily="34" charset="0"/>
              <a:ea typeface="+mn-ea"/>
              <a:cs typeface="Arial" panose="020B0604020202020204" pitchFamily="34" charset="0"/>
            </a:rPr>
            <a:t>city</a:t>
          </a:r>
          <a:r>
            <a:rPr lang="en-US" sz="1600" b="1">
              <a:latin typeface="Arial" panose="020B0604020202020204" pitchFamily="34" charset="0"/>
              <a:cs typeface="Arial" panose="020B0604020202020204" pitchFamily="34" charset="0"/>
            </a:rPr>
            <a:t> to see its Crime Rank and Commute Time.</a:t>
          </a:r>
          <a:endParaRPr lang="en-US" sz="1600" b="1" kern="1200">
            <a:latin typeface="Arial" panose="020B0604020202020204" pitchFamily="34" charset="0"/>
            <a:cs typeface="Arial" panose="020B0604020202020204" pitchFamily="34" charset="0"/>
          </a:endParaRPr>
        </a:p>
      </xdr:txBody>
    </xdr:sp>
    <xdr:clientData/>
  </xdr:twoCellAnchor>
  <xdr:twoCellAnchor>
    <xdr:from>
      <xdr:col>7</xdr:col>
      <xdr:colOff>781034</xdr:colOff>
      <xdr:row>9</xdr:row>
      <xdr:rowOff>109215</xdr:rowOff>
    </xdr:from>
    <xdr:to>
      <xdr:col>10</xdr:col>
      <xdr:colOff>783367</xdr:colOff>
      <xdr:row>19</xdr:row>
      <xdr:rowOff>3645</xdr:rowOff>
    </xdr:to>
    <xdr:sp macro="" textlink="">
      <xdr:nvSpPr>
        <xdr:cNvPr id="7" name="Rectangle: Rounded Corners 6">
          <a:extLst>
            <a:ext uri="{FF2B5EF4-FFF2-40B4-BE49-F238E27FC236}">
              <a16:creationId xmlns:a16="http://schemas.microsoft.com/office/drawing/2014/main" id="{6177B50E-BC89-445B-D39E-9A6A6386B0A4}"/>
            </a:ext>
          </a:extLst>
        </xdr:cNvPr>
        <xdr:cNvSpPr/>
      </xdr:nvSpPr>
      <xdr:spPr>
        <a:xfrm>
          <a:off x="5792385" y="1653810"/>
          <a:ext cx="2422198" cy="1610646"/>
        </a:xfrm>
        <a:prstGeom prst="roundRect">
          <a:avLst/>
        </a:prstGeom>
        <a:solidFill>
          <a:schemeClr val="accent1"/>
        </a:solidFill>
        <a:ln>
          <a:solidFill>
            <a:schemeClr val="tx2">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1600" b="1">
              <a:latin typeface="Arial" panose="020B0604020202020204" pitchFamily="34" charset="0"/>
              <a:cs typeface="Arial" panose="020B0604020202020204" pitchFamily="34" charset="0"/>
            </a:rPr>
            <a:t>Choose cities to compare home prices, physician availability, and unemployment rates.</a:t>
          </a:r>
          <a:endParaRPr lang="en-US" sz="1600" b="1" kern="1200" baseline="0">
            <a:latin typeface="Arial" panose="020B0604020202020204" pitchFamily="34" charset="0"/>
            <a:cs typeface="Arial" panose="020B0604020202020204" pitchFamily="34" charset="0"/>
          </a:endParaRPr>
        </a:p>
        <a:p>
          <a:pPr algn="l"/>
          <a:endParaRPr lang="en-US" sz="1600" kern="1200">
            <a:latin typeface="Arial" panose="020B0604020202020204" pitchFamily="34" charset="0"/>
            <a:cs typeface="Arial" panose="020B0604020202020204" pitchFamily="34" charset="0"/>
          </a:endParaRPr>
        </a:p>
      </xdr:txBody>
    </xdr:sp>
    <xdr:clientData/>
  </xdr:twoCellAnchor>
  <xdr:twoCellAnchor>
    <xdr:from>
      <xdr:col>3</xdr:col>
      <xdr:colOff>778934</xdr:colOff>
      <xdr:row>29</xdr:row>
      <xdr:rowOff>9769</xdr:rowOff>
    </xdr:from>
    <xdr:to>
      <xdr:col>7</xdr:col>
      <xdr:colOff>568854</xdr:colOff>
      <xdr:row>34</xdr:row>
      <xdr:rowOff>52916</xdr:rowOff>
    </xdr:to>
    <xdr:sp macro="" textlink="Crime!$A$1">
      <xdr:nvSpPr>
        <xdr:cNvPr id="9" name="TextBox 8">
          <a:extLst>
            <a:ext uri="{FF2B5EF4-FFF2-40B4-BE49-F238E27FC236}">
              <a16:creationId xmlns:a16="http://schemas.microsoft.com/office/drawing/2014/main" id="{EF144C6C-58CD-4942-9F87-44799C514D6C}"/>
            </a:ext>
          </a:extLst>
        </xdr:cNvPr>
        <xdr:cNvSpPr txBox="1"/>
      </xdr:nvSpPr>
      <xdr:spPr>
        <a:xfrm rot="10800000" flipV="1">
          <a:off x="2564872" y="4997165"/>
          <a:ext cx="3017836" cy="903043"/>
        </a:xfrm>
        <a:prstGeom prst="chevron">
          <a:avLst/>
        </a:prstGeom>
        <a:gradFill flip="none" rotWithShape="1">
          <a:gsLst>
            <a:gs pos="0">
              <a:schemeClr val="accent1">
                <a:lumMod val="50000"/>
                <a:shade val="30000"/>
                <a:satMod val="115000"/>
              </a:schemeClr>
            </a:gs>
            <a:gs pos="50000">
              <a:schemeClr val="accent1">
                <a:lumMod val="50000"/>
                <a:shade val="67500"/>
                <a:satMod val="115000"/>
              </a:schemeClr>
            </a:gs>
            <a:gs pos="100000">
              <a:schemeClr val="accent1">
                <a:lumMod val="50000"/>
                <a:shade val="100000"/>
                <a:satMod val="115000"/>
              </a:schemeClr>
            </a:gs>
          </a:gsLst>
          <a:path path="circle">
            <a:fillToRect l="50000" t="50000" r="50000" b="50000"/>
          </a:path>
          <a:tileRect/>
        </a:gradFill>
        <a:ln w="9525" cmpd="sng">
          <a:solidFill>
            <a:schemeClr val="accent6"/>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D4E24952-937D-4460-9F80-F76DAFA00D8F}" type="TxLink">
            <a:rPr lang="en-US" sz="1600" b="1" i="0" u="none" strike="noStrike" kern="1200">
              <a:solidFill>
                <a:schemeClr val="bg1"/>
              </a:solidFill>
              <a:latin typeface="Century Schoolbook"/>
              <a:ea typeface="+mn-ea"/>
              <a:cs typeface="+mn-cs"/>
            </a:rPr>
            <a:pPr marL="0" indent="0" algn="ctr"/>
            <a:t>The Crime Rank in this city is 37.3</a:t>
          </a:fld>
          <a:endParaRPr lang="en-US" sz="1600" b="1" i="0" u="none" strike="noStrike" kern="1200">
            <a:solidFill>
              <a:schemeClr val="bg1"/>
            </a:solidFill>
            <a:latin typeface="Century Schoolbook"/>
            <a:ea typeface="+mn-ea"/>
            <a:cs typeface="+mn-cs"/>
          </a:endParaRPr>
        </a:p>
      </xdr:txBody>
    </xdr:sp>
    <xdr:clientData/>
  </xdr:twoCellAnchor>
  <xdr:twoCellAnchor>
    <xdr:from>
      <xdr:col>4</xdr:col>
      <xdr:colOff>20463</xdr:colOff>
      <xdr:row>36</xdr:row>
      <xdr:rowOff>116179</xdr:rowOff>
    </xdr:from>
    <xdr:to>
      <xdr:col>7</xdr:col>
      <xdr:colOff>443817</xdr:colOff>
      <xdr:row>41</xdr:row>
      <xdr:rowOff>136559</xdr:rowOff>
    </xdr:to>
    <xdr:sp macro="" textlink="Crime!$E$3">
      <xdr:nvSpPr>
        <xdr:cNvPr id="10" name="TextBox 9">
          <a:extLst>
            <a:ext uri="{FF2B5EF4-FFF2-40B4-BE49-F238E27FC236}">
              <a16:creationId xmlns:a16="http://schemas.microsoft.com/office/drawing/2014/main" id="{797C6891-7F1F-084A-AA2D-13BDB6F59E4E}"/>
            </a:ext>
          </a:extLst>
        </xdr:cNvPr>
        <xdr:cNvSpPr txBox="1"/>
      </xdr:nvSpPr>
      <xdr:spPr>
        <a:xfrm flipH="1">
          <a:off x="2635571" y="6507147"/>
          <a:ext cx="2860934" cy="908014"/>
        </a:xfrm>
        <a:prstGeom prst="chevron">
          <a:avLst/>
        </a:prstGeom>
        <a:gradFill flip="none" rotWithShape="1">
          <a:gsLst>
            <a:gs pos="0">
              <a:schemeClr val="accent1">
                <a:lumMod val="50000"/>
                <a:shade val="30000"/>
                <a:satMod val="115000"/>
              </a:schemeClr>
            </a:gs>
            <a:gs pos="50000">
              <a:schemeClr val="accent1">
                <a:lumMod val="50000"/>
                <a:shade val="67500"/>
                <a:satMod val="115000"/>
              </a:schemeClr>
            </a:gs>
            <a:gs pos="100000">
              <a:schemeClr val="accent1">
                <a:lumMod val="50000"/>
                <a:shade val="100000"/>
                <a:satMod val="115000"/>
              </a:schemeClr>
            </a:gs>
          </a:gsLst>
          <a:path path="circle">
            <a:fillToRect l="50000" t="50000" r="50000" b="50000"/>
          </a:path>
          <a:tileRect/>
        </a:gradFill>
        <a:ln w="9525" cmpd="sng">
          <a:solidFill>
            <a:schemeClr val="accent6"/>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A77FDDB-AA79-478F-B838-85BC3FEF528A}" type="TxLink">
            <a:rPr lang="en-US" sz="1600" b="1" i="0" u="none" strike="noStrike" kern="1200">
              <a:solidFill>
                <a:schemeClr val="bg1"/>
              </a:solidFill>
              <a:latin typeface="Century Schoolbook"/>
            </a:rPr>
            <a:pPr algn="ctr"/>
            <a:t>The Average Commute Time is 30.44 minutes</a:t>
          </a:fld>
          <a:endParaRPr lang="en-US" sz="1600" b="1" kern="1200">
            <a:solidFill>
              <a:schemeClr val="bg1"/>
            </a:solidFill>
            <a:latin typeface="+mn-lt"/>
          </a:endParaRPr>
        </a:p>
      </xdr:txBody>
    </xdr:sp>
    <xdr:clientData/>
  </xdr:twoCellAnchor>
  <xdr:twoCellAnchor>
    <xdr:from>
      <xdr:col>14</xdr:col>
      <xdr:colOff>79375</xdr:colOff>
      <xdr:row>7</xdr:row>
      <xdr:rowOff>145521</xdr:rowOff>
    </xdr:from>
    <xdr:to>
      <xdr:col>23</xdr:col>
      <xdr:colOff>224896</xdr:colOff>
      <xdr:row>13</xdr:row>
      <xdr:rowOff>158221</xdr:rowOff>
    </xdr:to>
    <xdr:sp macro="" textlink="">
      <xdr:nvSpPr>
        <xdr:cNvPr id="14" name="Rounded Rectangle 13">
          <a:extLst>
            <a:ext uri="{FF2B5EF4-FFF2-40B4-BE49-F238E27FC236}">
              <a16:creationId xmlns:a16="http://schemas.microsoft.com/office/drawing/2014/main" id="{33A30BE2-B031-0D71-EC49-320684D17DDE}"/>
            </a:ext>
          </a:extLst>
        </xdr:cNvPr>
        <xdr:cNvSpPr/>
      </xdr:nvSpPr>
      <xdr:spPr>
        <a:xfrm>
          <a:off x="10742083" y="1349375"/>
          <a:ext cx="7408334" cy="1044575"/>
        </a:xfrm>
        <a:prstGeom prst="round2DiagRect">
          <a:avLst/>
        </a:prstGeom>
        <a:solidFill>
          <a:schemeClr val="accent1"/>
        </a:solidFill>
        <a:ln w="3810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800" b="1" kern="1200" baseline="0">
              <a:latin typeface="Cambria" panose="02040503050406030204" pitchFamily="18" charset="0"/>
            </a:rPr>
            <a:t>Chose a button below to explore additional parametric comparisons</a:t>
          </a:r>
          <a:endParaRPr lang="en-US" sz="1800" b="1" kern="1200">
            <a:latin typeface="Cambria" panose="02040503050406030204" pitchFamily="18" charset="0"/>
          </a:endParaRPr>
        </a:p>
      </xdr:txBody>
    </xdr:sp>
    <xdr:clientData/>
  </xdr:twoCellAnchor>
  <mc:AlternateContent xmlns:mc="http://schemas.openxmlformats.org/markup-compatibility/2006">
    <mc:Choice xmlns:a14="http://schemas.microsoft.com/office/drawing/2010/main" Requires="a14">
      <xdr:twoCellAnchor>
        <xdr:from>
          <xdr:col>15</xdr:col>
          <xdr:colOff>292100</xdr:colOff>
          <xdr:row>10</xdr:row>
          <xdr:rowOff>69850</xdr:rowOff>
        </xdr:from>
        <xdr:to>
          <xdr:col>16</xdr:col>
          <xdr:colOff>558800</xdr:colOff>
          <xdr:row>12</xdr:row>
          <xdr:rowOff>177800</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000-000001440000}"/>
                </a:ext>
              </a:extLst>
            </xdr:cNvPr>
            <xdr:cNvSpPr/>
          </xdr:nvSpPr>
          <xdr:spPr bwMode="auto">
            <a:xfrm>
              <a:off x="0" y="0"/>
              <a:ext cx="0" cy="0"/>
            </a:xfrm>
            <a:prstGeom prst="rect">
              <a:avLst/>
            </a:prstGeom>
            <a:noFill/>
            <a:ln w="9525">
              <a:miter lim="800000"/>
              <a:headEnd/>
              <a:tailEnd/>
            </a:ln>
          </xdr:spPr>
          <xdr:txBody>
            <a:bodyPr vertOverflow="clip" wrap="square" lIns="45720" tIns="32004" rIns="45720" bIns="32004" anchor="ctr" upright="1"/>
            <a:lstStyle/>
            <a:p>
              <a:pPr algn="ctr" rtl="0">
                <a:defRPr sz="1000"/>
              </a:pPr>
              <a:r>
                <a:rPr lang="en-US" sz="1200" b="1" i="0" u="none" strike="noStrike" baseline="0">
                  <a:solidFill>
                    <a:srgbClr val="000000"/>
                  </a:solidFill>
                  <a:latin typeface="Cambria"/>
                  <a:ea typeface="Cambria"/>
                </a:rPr>
                <a:t>Climate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654050</xdr:colOff>
          <xdr:row>10</xdr:row>
          <xdr:rowOff>76200</xdr:rowOff>
        </xdr:from>
        <xdr:to>
          <xdr:col>19</xdr:col>
          <xdr:colOff>114300</xdr:colOff>
          <xdr:row>13</xdr:row>
          <xdr:rowOff>6350</xdr:rowOff>
        </xdr:to>
        <xdr:sp macro="" textlink="">
          <xdr:nvSpPr>
            <xdr:cNvPr id="17410" name="Button 2" hidden="1">
              <a:extLst>
                <a:ext uri="{63B3BB69-23CF-44E3-9099-C40C66FF867C}">
                  <a14:compatExt spid="_x0000_s17410"/>
                </a:ext>
                <a:ext uri="{FF2B5EF4-FFF2-40B4-BE49-F238E27FC236}">
                  <a16:creationId xmlns:a16="http://schemas.microsoft.com/office/drawing/2014/main" id="{00000000-0008-0000-0000-000002440000}"/>
                </a:ext>
              </a:extLst>
            </xdr:cNvPr>
            <xdr:cNvSpPr/>
          </xdr:nvSpPr>
          <xdr:spPr bwMode="auto">
            <a:xfrm>
              <a:off x="0" y="0"/>
              <a:ext cx="0" cy="0"/>
            </a:xfrm>
            <a:prstGeom prst="rect">
              <a:avLst/>
            </a:prstGeom>
            <a:noFill/>
            <a:ln w="9525">
              <a:miter lim="800000"/>
              <a:headEnd/>
              <a:tailEnd/>
            </a:ln>
          </xdr:spPr>
          <xdr:txBody>
            <a:bodyPr vertOverflow="clip" wrap="square" lIns="45720" tIns="32004" rIns="45720" bIns="32004" anchor="ctr" upright="1"/>
            <a:lstStyle/>
            <a:p>
              <a:pPr algn="ctr" rtl="0">
                <a:defRPr sz="1000"/>
              </a:pPr>
              <a:r>
                <a:rPr lang="en-US" sz="1200" b="1" i="0" u="none" strike="noStrike" baseline="0">
                  <a:solidFill>
                    <a:srgbClr val="000000"/>
                  </a:solidFill>
                  <a:latin typeface="Cambria"/>
                  <a:ea typeface="Cambria"/>
                </a:rPr>
                <a:t>Population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254000</xdr:colOff>
          <xdr:row>10</xdr:row>
          <xdr:rowOff>82550</xdr:rowOff>
        </xdr:from>
        <xdr:to>
          <xdr:col>21</xdr:col>
          <xdr:colOff>508000</xdr:colOff>
          <xdr:row>13</xdr:row>
          <xdr:rowOff>12700</xdr:rowOff>
        </xdr:to>
        <xdr:sp macro="" textlink="">
          <xdr:nvSpPr>
            <xdr:cNvPr id="17411" name="Button 3" hidden="1">
              <a:extLst>
                <a:ext uri="{63B3BB69-23CF-44E3-9099-C40C66FF867C}">
                  <a14:compatExt spid="_x0000_s17411"/>
                </a:ext>
                <a:ext uri="{FF2B5EF4-FFF2-40B4-BE49-F238E27FC236}">
                  <a16:creationId xmlns:a16="http://schemas.microsoft.com/office/drawing/2014/main" id="{00000000-0008-0000-0000-000003440000}"/>
                </a:ext>
              </a:extLst>
            </xdr:cNvPr>
            <xdr:cNvSpPr/>
          </xdr:nvSpPr>
          <xdr:spPr bwMode="auto">
            <a:xfrm>
              <a:off x="0" y="0"/>
              <a:ext cx="0" cy="0"/>
            </a:xfrm>
            <a:prstGeom prst="rect">
              <a:avLst/>
            </a:prstGeom>
            <a:noFill/>
            <a:ln w="9525">
              <a:miter lim="800000"/>
              <a:headEnd/>
              <a:tailEnd/>
            </a:ln>
          </xdr:spPr>
          <xdr:txBody>
            <a:bodyPr vertOverflow="clip" wrap="square" lIns="45720" tIns="32004" rIns="45720" bIns="32004" anchor="ctr" upright="1"/>
            <a:lstStyle/>
            <a:p>
              <a:pPr algn="ctr" rtl="0">
                <a:defRPr sz="1000"/>
              </a:pPr>
              <a:r>
                <a:rPr lang="en-US" sz="1200" b="1" i="0" u="none" strike="noStrike" baseline="0">
                  <a:solidFill>
                    <a:srgbClr val="000000"/>
                  </a:solidFill>
                  <a:latin typeface="Cambria"/>
                  <a:ea typeface="Cambria"/>
                </a:rPr>
                <a:t>Education  </a:t>
              </a:r>
            </a:p>
          </xdr:txBody>
        </xdr:sp>
        <xdr:clientData fPrintsWithSheet="0"/>
      </xdr:twoCellAnchor>
    </mc:Choice>
    <mc:Fallback/>
  </mc:AlternateContent>
  <xdr:twoCellAnchor>
    <xdr:from>
      <xdr:col>11</xdr:col>
      <xdr:colOff>482600</xdr:colOff>
      <xdr:row>15</xdr:row>
      <xdr:rowOff>12700</xdr:rowOff>
    </xdr:from>
    <xdr:to>
      <xdr:col>19</xdr:col>
      <xdr:colOff>552684</xdr:colOff>
      <xdr:row>39</xdr:row>
      <xdr:rowOff>94074</xdr:rowOff>
    </xdr:to>
    <xdr:graphicFrame macro="">
      <xdr:nvGraphicFramePr>
        <xdr:cNvPr id="15" name="Chart 14">
          <a:extLst>
            <a:ext uri="{FF2B5EF4-FFF2-40B4-BE49-F238E27FC236}">
              <a16:creationId xmlns:a16="http://schemas.microsoft.com/office/drawing/2014/main" id="{D5351910-1D82-7948-8B07-87AB0719499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19</xdr:col>
      <xdr:colOff>793985</xdr:colOff>
      <xdr:row>14</xdr:row>
      <xdr:rowOff>161863</xdr:rowOff>
    </xdr:from>
    <xdr:to>
      <xdr:col>29</xdr:col>
      <xdr:colOff>293981</xdr:colOff>
      <xdr:row>39</xdr:row>
      <xdr:rowOff>70555</xdr:rowOff>
    </xdr:to>
    <xdr:graphicFrame macro="">
      <xdr:nvGraphicFramePr>
        <xdr:cNvPr id="16" name="Chart 15">
          <a:extLst>
            <a:ext uri="{FF2B5EF4-FFF2-40B4-BE49-F238E27FC236}">
              <a16:creationId xmlns:a16="http://schemas.microsoft.com/office/drawing/2014/main" id="{34107E91-61C3-6945-8BC2-3A919AFA012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11</xdr:col>
      <xdr:colOff>500303</xdr:colOff>
      <xdr:row>40</xdr:row>
      <xdr:rowOff>117592</xdr:rowOff>
    </xdr:from>
    <xdr:to>
      <xdr:col>29</xdr:col>
      <xdr:colOff>269394</xdr:colOff>
      <xdr:row>68</xdr:row>
      <xdr:rowOff>130293</xdr:rowOff>
    </xdr:to>
    <xdr:graphicFrame macro="">
      <xdr:nvGraphicFramePr>
        <xdr:cNvPr id="17" name="Chart 16">
          <a:extLst>
            <a:ext uri="{FF2B5EF4-FFF2-40B4-BE49-F238E27FC236}">
              <a16:creationId xmlns:a16="http://schemas.microsoft.com/office/drawing/2014/main" id="{BEDF9377-2FE5-1045-9D99-AA37A16A5A6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9</xdr:col>
      <xdr:colOff>376904</xdr:colOff>
      <xdr:row>18</xdr:row>
      <xdr:rowOff>154459</xdr:rowOff>
    </xdr:from>
    <xdr:to>
      <xdr:col>9</xdr:col>
      <xdr:colOff>394729</xdr:colOff>
      <xdr:row>22</xdr:row>
      <xdr:rowOff>132584</xdr:rowOff>
    </xdr:to>
    <xdr:cxnSp macro="">
      <xdr:nvCxnSpPr>
        <xdr:cNvPr id="11" name="Straight Arrow Connector 10">
          <a:extLst>
            <a:ext uri="{FF2B5EF4-FFF2-40B4-BE49-F238E27FC236}">
              <a16:creationId xmlns:a16="http://schemas.microsoft.com/office/drawing/2014/main" id="{323D1138-EF1B-E9D0-14EC-F5329F950D60}"/>
            </a:ext>
          </a:extLst>
        </xdr:cNvPr>
        <xdr:cNvCxnSpPr>
          <a:endCxn id="5" idx="0"/>
        </xdr:cNvCxnSpPr>
      </xdr:nvCxnSpPr>
      <xdr:spPr>
        <a:xfrm flipH="1">
          <a:off x="7001499" y="3243648"/>
          <a:ext cx="17825" cy="664612"/>
        </a:xfrm>
        <a:prstGeom prst="straightConnector1">
          <a:avLst/>
        </a:prstGeom>
        <a:ln w="57150" cap="flat" cmpd="sng" algn="ctr">
          <a:solidFill>
            <a:schemeClr val="dk1"/>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2</xdr:col>
      <xdr:colOff>297234</xdr:colOff>
      <xdr:row>17</xdr:row>
      <xdr:rowOff>161391</xdr:rowOff>
    </xdr:from>
    <xdr:to>
      <xdr:col>2</xdr:col>
      <xdr:colOff>348942</xdr:colOff>
      <xdr:row>23</xdr:row>
      <xdr:rowOff>67553</xdr:rowOff>
    </xdr:to>
    <xdr:cxnSp macro="">
      <xdr:nvCxnSpPr>
        <xdr:cNvPr id="19" name="Straight Arrow Connector 18">
          <a:extLst>
            <a:ext uri="{FF2B5EF4-FFF2-40B4-BE49-F238E27FC236}">
              <a16:creationId xmlns:a16="http://schemas.microsoft.com/office/drawing/2014/main" id="{91A7EF3B-039D-4A08-92D6-3B2D7FCEA381}"/>
            </a:ext>
          </a:extLst>
        </xdr:cNvPr>
        <xdr:cNvCxnSpPr/>
      </xdr:nvCxnSpPr>
      <xdr:spPr>
        <a:xfrm flipH="1">
          <a:off x="1285012" y="3160002"/>
          <a:ext cx="51708" cy="964495"/>
        </a:xfrm>
        <a:prstGeom prst="straightConnector1">
          <a:avLst/>
        </a:prstGeom>
        <a:ln w="57150" cap="flat" cmpd="sng" algn="ctr">
          <a:solidFill>
            <a:schemeClr val="dk1"/>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660400</xdr:colOff>
          <xdr:row>0</xdr:row>
          <xdr:rowOff>82550</xdr:rowOff>
        </xdr:from>
        <xdr:to>
          <xdr:col>4</xdr:col>
          <xdr:colOff>469900</xdr:colOff>
          <xdr:row>3</xdr:row>
          <xdr:rowOff>44450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100-000001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entury Schoolbook"/>
                </a:rPr>
                <a:t>Back to Dashboard</a:t>
              </a:r>
            </a:p>
          </xdr:txBody>
        </xdr:sp>
        <xdr:clientData fPrintsWithSheet="0"/>
      </xdr:twoCellAnchor>
    </mc:Choice>
    <mc:Fallback/>
  </mc:AlternateContent>
  <xdr:twoCellAnchor>
    <xdr:from>
      <xdr:col>2</xdr:col>
      <xdr:colOff>659694</xdr:colOff>
      <xdr:row>3</xdr:row>
      <xdr:rowOff>173565</xdr:rowOff>
    </xdr:from>
    <xdr:to>
      <xdr:col>8</xdr:col>
      <xdr:colOff>786694</xdr:colOff>
      <xdr:row>19</xdr:row>
      <xdr:rowOff>94543</xdr:rowOff>
    </xdr:to>
    <xdr:graphicFrame macro="">
      <xdr:nvGraphicFramePr>
        <xdr:cNvPr id="3" name="Chart 2">
          <a:extLst>
            <a:ext uri="{FF2B5EF4-FFF2-40B4-BE49-F238E27FC236}">
              <a16:creationId xmlns:a16="http://schemas.microsoft.com/office/drawing/2014/main" id="{9D1099F9-0FB6-AB1F-B2FC-CD00178FCAD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457200</xdr:colOff>
          <xdr:row>0</xdr:row>
          <xdr:rowOff>139700</xdr:rowOff>
        </xdr:from>
        <xdr:to>
          <xdr:col>5</xdr:col>
          <xdr:colOff>330200</xdr:colOff>
          <xdr:row>3</xdr:row>
          <xdr:rowOff>63500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200-00000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entury Schoolbook"/>
                </a:rPr>
                <a:t>Back To Dashboard</a:t>
              </a:r>
            </a:p>
          </xdr:txBody>
        </xdr:sp>
        <xdr:clientData fPrintsWithSheet="0"/>
      </xdr:twoCellAnchor>
    </mc:Choice>
    <mc:Fallback/>
  </mc:AlternateContent>
  <xdr:twoCellAnchor>
    <xdr:from>
      <xdr:col>3</xdr:col>
      <xdr:colOff>55805</xdr:colOff>
      <xdr:row>3</xdr:row>
      <xdr:rowOff>89496</xdr:rowOff>
    </xdr:from>
    <xdr:to>
      <xdr:col>14</xdr:col>
      <xdr:colOff>205441</xdr:colOff>
      <xdr:row>21</xdr:row>
      <xdr:rowOff>74706</xdr:rowOff>
    </xdr:to>
    <xdr:graphicFrame macro="">
      <xdr:nvGraphicFramePr>
        <xdr:cNvPr id="4" name="Chart 3">
          <a:extLst>
            <a:ext uri="{FF2B5EF4-FFF2-40B4-BE49-F238E27FC236}">
              <a16:creationId xmlns:a16="http://schemas.microsoft.com/office/drawing/2014/main" id="{E9CFF4CF-5146-BA16-8114-21C4ABB6664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139700</xdr:colOff>
          <xdr:row>0</xdr:row>
          <xdr:rowOff>107950</xdr:rowOff>
        </xdr:from>
        <xdr:to>
          <xdr:col>4</xdr:col>
          <xdr:colOff>666750</xdr:colOff>
          <xdr:row>3</xdr:row>
          <xdr:rowOff>88900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300-000001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entury Schoolbook"/>
                </a:rPr>
                <a:t>Back to Dashboard</a:t>
              </a:r>
            </a:p>
            <a:p>
              <a:pPr algn="ctr" rtl="0">
                <a:defRPr sz="1000"/>
              </a:pPr>
              <a:endParaRPr lang="en-US" sz="1100" b="0" i="0" u="none" strike="noStrike" baseline="0">
                <a:solidFill>
                  <a:srgbClr val="000000"/>
                </a:solidFill>
                <a:latin typeface="Century Schoolbook"/>
              </a:endParaRPr>
            </a:p>
          </xdr:txBody>
        </xdr:sp>
        <xdr:clientData fPrintsWithSheet="0"/>
      </xdr:twoCellAnchor>
    </mc:Choice>
    <mc:Fallback/>
  </mc:AlternateContent>
  <xdr:twoCellAnchor>
    <xdr:from>
      <xdr:col>3</xdr:col>
      <xdr:colOff>12374</xdr:colOff>
      <xdr:row>4</xdr:row>
      <xdr:rowOff>5641</xdr:rowOff>
    </xdr:from>
    <xdr:to>
      <xdr:col>9</xdr:col>
      <xdr:colOff>47624</xdr:colOff>
      <xdr:row>20</xdr:row>
      <xdr:rowOff>39688</xdr:rowOff>
    </xdr:to>
    <xdr:graphicFrame macro="">
      <xdr:nvGraphicFramePr>
        <xdr:cNvPr id="2" name="Chart 1">
          <a:extLst>
            <a:ext uri="{FF2B5EF4-FFF2-40B4-BE49-F238E27FC236}">
              <a16:creationId xmlns:a16="http://schemas.microsoft.com/office/drawing/2014/main" id="{8C3AF051-6CCE-DD1B-DD7D-AB99F06302D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4</xdr:col>
      <xdr:colOff>411480</xdr:colOff>
      <xdr:row>3</xdr:row>
      <xdr:rowOff>57150</xdr:rowOff>
    </xdr:from>
    <xdr:to>
      <xdr:col>12</xdr:col>
      <xdr:colOff>106680</xdr:colOff>
      <xdr:row>18</xdr:row>
      <xdr:rowOff>57150</xdr:rowOff>
    </xdr:to>
    <xdr:graphicFrame macro="">
      <xdr:nvGraphicFramePr>
        <xdr:cNvPr id="2" name="Chart 1">
          <a:extLst>
            <a:ext uri="{FF2B5EF4-FFF2-40B4-BE49-F238E27FC236}">
              <a16:creationId xmlns:a16="http://schemas.microsoft.com/office/drawing/2014/main" id="{8F06DE8F-CA5D-11EA-B1CC-26996164EA2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xdr:col>
      <xdr:colOff>381000</xdr:colOff>
      <xdr:row>6</xdr:row>
      <xdr:rowOff>121920</xdr:rowOff>
    </xdr:from>
    <xdr:to>
      <xdr:col>3</xdr:col>
      <xdr:colOff>502920</xdr:colOff>
      <xdr:row>21</xdr:row>
      <xdr:rowOff>74295</xdr:rowOff>
    </xdr:to>
    <mc:AlternateContent xmlns:mc="http://schemas.openxmlformats.org/markup-compatibility/2006" xmlns:a14="http://schemas.microsoft.com/office/drawing/2010/main">
      <mc:Choice Requires="a14">
        <xdr:graphicFrame macro="">
          <xdr:nvGraphicFramePr>
            <xdr:cNvPr id="4" name="Cities">
              <a:extLst>
                <a:ext uri="{FF2B5EF4-FFF2-40B4-BE49-F238E27FC236}">
                  <a16:creationId xmlns:a16="http://schemas.microsoft.com/office/drawing/2014/main" id="{29D8A038-4B4B-F2FF-0F27-548AF7E168DB}"/>
                </a:ext>
              </a:extLst>
            </xdr:cNvPr>
            <xdr:cNvGraphicFramePr/>
          </xdr:nvGraphicFramePr>
          <xdr:xfrm>
            <a:off x="0" y="0"/>
            <a:ext cx="0" cy="0"/>
          </xdr:xfrm>
          <a:graphic>
            <a:graphicData uri="http://schemas.microsoft.com/office/drawing/2010/slicer">
              <sle:slicer xmlns:sle="http://schemas.microsoft.com/office/drawing/2010/slicer" name="Cities"/>
            </a:graphicData>
          </a:graphic>
        </xdr:graphicFrame>
      </mc:Choice>
      <mc:Fallback xmlns="">
        <xdr:sp macro="" textlink="">
          <xdr:nvSpPr>
            <xdr:cNvPr id="0" name=""/>
            <xdr:cNvSpPr>
              <a:spLocks noTextEdit="1"/>
            </xdr:cNvSpPr>
          </xdr:nvSpPr>
          <xdr:spPr>
            <a:xfrm>
              <a:off x="3185160" y="1173480"/>
              <a:ext cx="1828800" cy="25812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xdr:from>
      <xdr:col>7</xdr:col>
      <xdr:colOff>198120</xdr:colOff>
      <xdr:row>7</xdr:row>
      <xdr:rowOff>166370</xdr:rowOff>
    </xdr:from>
    <xdr:to>
      <xdr:col>10</xdr:col>
      <xdr:colOff>213360</xdr:colOff>
      <xdr:row>13</xdr:row>
      <xdr:rowOff>143510</xdr:rowOff>
    </xdr:to>
    <xdr:sp macro="" textlink="$A$1">
      <xdr:nvSpPr>
        <xdr:cNvPr id="2" name="TextBox 1">
          <a:extLst>
            <a:ext uri="{FF2B5EF4-FFF2-40B4-BE49-F238E27FC236}">
              <a16:creationId xmlns:a16="http://schemas.microsoft.com/office/drawing/2014/main" id="{357EC8CD-E11F-1497-AF7D-58E0181EA07F}"/>
            </a:ext>
          </a:extLst>
        </xdr:cNvPr>
        <xdr:cNvSpPr txBox="1"/>
      </xdr:nvSpPr>
      <xdr:spPr>
        <a:xfrm>
          <a:off x="7443470" y="1410970"/>
          <a:ext cx="1996440" cy="104394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1054A9C7-6A61-44CC-B6E4-B32203C2EDEB}" type="TxLink">
            <a:rPr lang="en-US" sz="1800" b="0" i="0" u="none" strike="noStrike" kern="1200">
              <a:solidFill>
                <a:srgbClr val="000000"/>
              </a:solidFill>
              <a:latin typeface="+mn-lt"/>
            </a:rPr>
            <a:pPr algn="ctr"/>
            <a:t>The Crime Rank in this city is 37.3</a:t>
          </a:fld>
          <a:endParaRPr lang="en-US" sz="1800" kern="1200">
            <a:latin typeface="+mn-lt"/>
          </a:endParaRPr>
        </a:p>
      </xdr:txBody>
    </xdr:sp>
    <xdr:clientData/>
  </xdr:twoCellAnchor>
  <xdr:twoCellAnchor>
    <xdr:from>
      <xdr:col>7</xdr:col>
      <xdr:colOff>289560</xdr:colOff>
      <xdr:row>14</xdr:row>
      <xdr:rowOff>110490</xdr:rowOff>
    </xdr:from>
    <xdr:to>
      <xdr:col>10</xdr:col>
      <xdr:colOff>160020</xdr:colOff>
      <xdr:row>20</xdr:row>
      <xdr:rowOff>26670</xdr:rowOff>
    </xdr:to>
    <xdr:sp macro="" textlink="$E$3">
      <xdr:nvSpPr>
        <xdr:cNvPr id="4" name="TextBox 3">
          <a:extLst>
            <a:ext uri="{FF2B5EF4-FFF2-40B4-BE49-F238E27FC236}">
              <a16:creationId xmlns:a16="http://schemas.microsoft.com/office/drawing/2014/main" id="{53CACB94-BFA8-6194-ACEA-A9A708A94280}"/>
            </a:ext>
          </a:extLst>
        </xdr:cNvPr>
        <xdr:cNvSpPr txBox="1"/>
      </xdr:nvSpPr>
      <xdr:spPr>
        <a:xfrm>
          <a:off x="7534910" y="2599690"/>
          <a:ext cx="1851660" cy="982980"/>
        </a:xfrm>
        <a:prstGeom prst="rect">
          <a:avLst/>
        </a:prstGeom>
        <a:solidFill>
          <a:schemeClr val="bg2">
            <a:lumMod val="7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31B28BD7-7968-4B51-93D5-FEFAF5546813}" type="TxLink">
            <a:rPr lang="en-US" sz="1600" b="0" i="0" u="none" strike="noStrike" kern="1200">
              <a:solidFill>
                <a:srgbClr val="000000"/>
              </a:solidFill>
              <a:latin typeface="+mn-lt"/>
            </a:rPr>
            <a:pPr algn="ctr"/>
            <a:t>The Average Commute Time is 30.44 minutes</a:t>
          </a:fld>
          <a:endParaRPr lang="en-US" sz="1600" kern="1200">
            <a:latin typeface="+mn-lt"/>
          </a:endParaRP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sarg" refreshedDate="45637.518321643518" createdVersion="8" refreshedVersion="8" minRefreshableVersion="3" recordCount="20" xr:uid="{FF532192-96A9-49EC-B377-BE3EE2CD2E87}">
  <cacheSource type="worksheet">
    <worksheetSource name="Table1"/>
  </cacheSource>
  <cacheFields count="13">
    <cacheField name="Cities" numFmtId="0">
      <sharedItems count="22">
        <s v="Clevland"/>
        <s v="Dallas"/>
        <s v="Boston"/>
        <s v="New York"/>
        <s v="Philadelphia"/>
        <s v="Chicago"/>
        <s v="Detroit"/>
        <s v="Washington DC"/>
        <s v="Manchester"/>
        <s v="Richmond"/>
        <s v="Miami"/>
        <s v="Denver"/>
        <s v="Tampa"/>
        <s v="Nashville"/>
        <s v="Baltimore"/>
        <s v="Orlando"/>
        <s v="Houston"/>
        <s v="Las Vegas"/>
        <s v="Raleigh"/>
        <s v="Kansas City"/>
        <s v="Philladelphia" u="1"/>
        <s v="Michigan" u="1"/>
      </sharedItems>
    </cacheField>
    <cacheField name="State" numFmtId="0">
      <sharedItems count="19">
        <s v="Ohio"/>
        <s v="Texas"/>
        <s v="Massachusetts"/>
        <s v="New York"/>
        <s v="Pennsylvania"/>
        <s v="Illionis"/>
        <s v="Michigan"/>
        <s v="Washington"/>
        <s v="New Hampshire"/>
        <s v="Virginia"/>
        <s v="Florida"/>
        <s v="Colorado"/>
        <s v="Tennessee"/>
        <s v="Maryland"/>
        <s v="Nevada"/>
        <s v="North Carolina"/>
        <s v="Missouri"/>
        <s v="MA" u="1"/>
        <s v="Detroit" u="1"/>
      </sharedItems>
    </cacheField>
    <cacheField name="Population" numFmtId="0">
      <sharedItems containsSemiMixedTypes="0" containsString="0" containsNumber="1" containsInteger="1" minValue="114730" maxValue="8736047"/>
    </cacheField>
    <cacheField name="Median Income" numFmtId="0">
      <sharedItems containsSemiMixedTypes="0" containsString="0" containsNumber="1" containsInteger="1" minValue="33678" maxValue="93547"/>
    </cacheField>
    <cacheField name="Unemployment Rate" numFmtId="10">
      <sharedItems containsSemiMixedTypes="0" containsString="0" containsNumber="1" minValue="3.7999999999999999E-2" maxValue="0.112"/>
    </cacheField>
    <cacheField name="Avg Home Price" numFmtId="0">
      <sharedItems containsSemiMixedTypes="0" containsString="0" containsNumber="1" containsInteger="1" minValue="38100" maxValue="677200"/>
    </cacheField>
    <cacheField name="Climate" numFmtId="0">
      <sharedItems containsSemiMixedTypes="0" containsString="0" containsNumber="1" minValue="6.4" maxValue="7.5"/>
    </cacheField>
    <cacheField name="Crime Rank" numFmtId="0">
      <sharedItems containsSemiMixedTypes="0" containsString="0" containsNumber="1" minValue="20.3" maxValue="94.3"/>
    </cacheField>
    <cacheField name="Doctors per 1000000" numFmtId="0">
      <sharedItems containsSemiMixedTypes="0" containsString="0" containsNumber="1" containsInteger="1" minValue="151" maxValue="554"/>
    </cacheField>
    <cacheField name="Avg Commute Time" numFmtId="0">
      <sharedItems containsSemiMixedTypes="0" containsString="0" containsNumber="1" minValue="21.76" maxValue="40.78"/>
    </cacheField>
    <cacheField name="Education expense per student" numFmtId="0">
      <sharedItems containsSemiMixedTypes="0" containsString="0" containsNumber="1" containsInteger="1" minValue="9438" maxValue="23918"/>
    </cacheField>
    <cacheField name="Income Tax" numFmtId="10">
      <sharedItems containsSemiMixedTypes="0" containsString="0" containsNumber="1" minValue="0" maxValue="0.11"/>
    </cacheField>
    <cacheField name="Future Job Growth" numFmtId="10">
      <sharedItems containsSemiMixedTypes="0" containsString="0" containsNumber="1" minValue="0.214" maxValue="0.51"/>
    </cacheField>
  </cacheFields>
  <extLst>
    <ext xmlns:x14="http://schemas.microsoft.com/office/spreadsheetml/2009/9/main" uri="{725AE2AE-9491-48be-B2B4-4EB974FC3084}">
      <x14:pivotCacheDefinition pivotCacheId="194465712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
  <r>
    <x v="0"/>
    <x v="0"/>
    <n v="374861"/>
    <n v="33678"/>
    <n v="6.8000000000000005E-2"/>
    <n v="97300"/>
    <n v="6.8"/>
    <n v="72.5"/>
    <n v="399"/>
    <n v="24.14"/>
    <n v="15425"/>
    <n v="5.5E-2"/>
    <n v="0.214"/>
  </r>
  <r>
    <x v="1"/>
    <x v="1"/>
    <n v="1300239"/>
    <n v="58231"/>
    <n v="7.3999999999999996E-2"/>
    <n v="295100"/>
    <n v="7.1"/>
    <n v="37"/>
    <n v="210"/>
    <n v="26.78"/>
    <n v="10291"/>
    <n v="0"/>
    <n v="0.45100000000000001"/>
  </r>
  <r>
    <x v="2"/>
    <x v="2"/>
    <n v="672814"/>
    <n v="81744"/>
    <n v="6.2E-2"/>
    <n v="656500"/>
    <n v="6.9"/>
    <n v="37.299999999999997"/>
    <n v="554"/>
    <n v="30.44"/>
    <n v="23918"/>
    <n v="5.0999999999999997E-2"/>
    <n v="0.42499999999999999"/>
  </r>
  <r>
    <x v="3"/>
    <x v="3"/>
    <n v="8736047"/>
    <n v="70663"/>
    <n v="0.112"/>
    <n v="677200"/>
    <n v="7.3"/>
    <n v="28.2"/>
    <n v="151"/>
    <n v="40.78"/>
    <n v="18855"/>
    <n v="0.10100000000000001"/>
    <n v="0.307"/>
  </r>
  <r>
    <x v="4"/>
    <x v="4"/>
    <n v="1596865"/>
    <n v="52649"/>
    <n v="0.106"/>
    <n v="205900"/>
    <n v="7.3"/>
    <n v="50.8"/>
    <n v="243"/>
    <n v="32.93"/>
    <n v="14192"/>
    <n v="7.0000000000000007E-2"/>
    <n v="0.28399999999999997"/>
  </r>
  <r>
    <x v="5"/>
    <x v="5"/>
    <n v="2742119"/>
    <n v="65781"/>
    <n v="0.09"/>
    <n v="284100"/>
    <n v="7"/>
    <n v="49.9"/>
    <n v="261"/>
    <n v="34.630000000000003"/>
    <n v="18508"/>
    <n v="0.05"/>
    <n v="0.25700000000000001"/>
  </r>
  <r>
    <x v="6"/>
    <x v="6"/>
    <n v="645658"/>
    <n v="34762"/>
    <n v="9.6000000000000002E-2"/>
    <n v="71600"/>
    <n v="6.9"/>
    <n v="94.3"/>
    <n v="187"/>
    <n v="26.36"/>
    <n v="12521"/>
    <n v="6.8000000000000005E-2"/>
    <n v="0.29299999999999998"/>
  </r>
  <r>
    <x v="7"/>
    <x v="7"/>
    <n v="683154"/>
    <n v="93547"/>
    <n v="7.0000000000000007E-2"/>
    <n v="644900"/>
    <n v="7.3"/>
    <n v="56.2"/>
    <n v="417"/>
    <n v="30.04"/>
    <n v="23069"/>
    <n v="6.5000000000000002E-2"/>
    <n v="0.33700000000000002"/>
  </r>
  <r>
    <x v="8"/>
    <x v="8"/>
    <n v="114730"/>
    <n v="66929"/>
    <n v="3.7999999999999999E-2"/>
    <n v="348500"/>
    <n v="6.8"/>
    <n v="34.799999999999997"/>
    <n v="223"/>
    <n v="23.34"/>
    <n v="15747"/>
    <n v="0"/>
    <n v="0.33200000000000002"/>
  </r>
  <r>
    <x v="9"/>
    <x v="9"/>
    <n v="225676"/>
    <n v="54795"/>
    <n v="7.0999999999999994E-2"/>
    <n v="327100"/>
    <n v="7.3"/>
    <n v="24.6"/>
    <n v="374"/>
    <n v="21.87"/>
    <n v="14373"/>
    <n v="5.7999999999999996E-2"/>
    <n v="0.371"/>
  </r>
  <r>
    <x v="10"/>
    <x v="10"/>
    <n v="440807"/>
    <n v="47860"/>
    <n v="8.3000000000000004E-2"/>
    <n v="524600"/>
    <n v="6.4"/>
    <n v="48.8"/>
    <n v="228"/>
    <n v="28.3"/>
    <n v="10524"/>
    <n v="0"/>
    <n v="0.42700000000000005"/>
  </r>
  <r>
    <x v="11"/>
    <x v="11"/>
    <n v="706799"/>
    <n v="78177"/>
    <n v="7.0999999999999994E-2"/>
    <n v="576000"/>
    <n v="7.3"/>
    <n v="30.7"/>
    <n v="368"/>
    <n v="25.32"/>
    <n v="12519"/>
    <n v="4.8000000000000001E-2"/>
    <n v="0.45"/>
  </r>
  <r>
    <x v="12"/>
    <x v="10"/>
    <n v="380447"/>
    <n v="59893"/>
    <n v="0.05"/>
    <n v="38100"/>
    <n v="6.8"/>
    <n v="36"/>
    <n v="243"/>
    <n v="23.96"/>
    <n v="9438"/>
    <n v="0"/>
    <n v="0.42700000000000005"/>
  </r>
  <r>
    <x v="13"/>
    <x v="12"/>
    <n v="682646"/>
    <n v="65565"/>
    <n v="4.4999999999999998E-2"/>
    <n v="413200"/>
    <n v="7.3"/>
    <n v="54.6"/>
    <n v="347"/>
    <n v="24.62"/>
    <n v="11966"/>
    <n v="0"/>
    <n v="0.48299999999999998"/>
  </r>
  <r>
    <x v="14"/>
    <x v="13"/>
    <n v="592211"/>
    <n v="54124"/>
    <n v="7.9000000000000001E-2"/>
    <n v="180200"/>
    <n v="7.3"/>
    <n v="77.8"/>
    <n v="372"/>
    <n v="30.66"/>
    <n v="16085"/>
    <n v="0.11"/>
    <n v="0.251"/>
  </r>
  <r>
    <x v="15"/>
    <x v="10"/>
    <n v="302968"/>
    <n v="58968"/>
    <n v="5.7999999999999996E-2"/>
    <n v="369400"/>
    <n v="6.7"/>
    <n v="44.1"/>
    <n v="204"/>
    <n v="25.38"/>
    <n v="10437"/>
    <n v="0"/>
    <n v="0.51"/>
  </r>
  <r>
    <x v="16"/>
    <x v="1"/>
    <n v="2293288"/>
    <n v="56019"/>
    <n v="0.08"/>
    <n v="247900"/>
    <n v="6.6"/>
    <n v="50.4"/>
    <n v="185"/>
    <n v="27"/>
    <n v="10139"/>
    <n v="0"/>
    <n v="0.309"/>
  </r>
  <r>
    <x v="17"/>
    <x v="14"/>
    <n v="634786"/>
    <n v="61356"/>
    <n v="8.900000000000001E-2"/>
    <n v="384000"/>
    <n v="7.4"/>
    <n v="40.9"/>
    <n v="154"/>
    <n v="25.43"/>
    <n v="9498"/>
    <n v="0"/>
    <n v="0.39"/>
  </r>
  <r>
    <x v="18"/>
    <x v="15"/>
    <n v="462219"/>
    <n v="72996"/>
    <n v="4.2999999999999997E-2"/>
    <n v="472000"/>
    <n v="7.5"/>
    <n v="20.3"/>
    <n v="206"/>
    <n v="23.39"/>
    <n v="9531"/>
    <n v="5.2999999999999999E-2"/>
    <n v="0.442"/>
  </r>
  <r>
    <x v="19"/>
    <x v="16"/>
    <n v="502597"/>
    <n v="60042"/>
    <n v="5.2999999999999999E-2"/>
    <n v="222100"/>
    <n v="7.2"/>
    <n v="70.8"/>
    <n v="205"/>
    <n v="21.76"/>
    <n v="12022"/>
    <n v="6.4000000000000001E-2"/>
    <n v="0.4450000000000000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7F2D770-8FBD-4180-B678-3B0DD4575585}" name="PivotTable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location ref="A1:B22" firstHeaderRow="1" firstDataRow="1" firstDataCol="1"/>
  <pivotFields count="13">
    <pivotField axis="axisRow" showAll="0">
      <items count="23">
        <item x="2"/>
        <item x="3"/>
        <item x="5"/>
        <item x="14"/>
        <item x="0"/>
        <item x="1"/>
        <item x="11"/>
        <item x="6"/>
        <item x="16"/>
        <item x="19"/>
        <item x="17"/>
        <item x="8"/>
        <item x="10"/>
        <item m="1" x="21"/>
        <item x="13"/>
        <item x="15"/>
        <item x="4"/>
        <item m="1" x="20"/>
        <item x="18"/>
        <item x="9"/>
        <item x="12"/>
        <item x="7"/>
        <item t="default"/>
      </items>
    </pivotField>
    <pivotField showAll="0"/>
    <pivotField showAll="0"/>
    <pivotField showAll="0"/>
    <pivotField numFmtId="10" showAll="0"/>
    <pivotField showAll="0"/>
    <pivotField showAll="0"/>
    <pivotField showAll="0"/>
    <pivotField showAll="0"/>
    <pivotField showAll="0"/>
    <pivotField dataField="1" showAll="0"/>
    <pivotField numFmtId="10" showAll="0"/>
    <pivotField numFmtId="10" showAll="0"/>
  </pivotFields>
  <rowFields count="1">
    <field x="0"/>
  </rowFields>
  <rowItems count="21">
    <i>
      <x/>
    </i>
    <i>
      <x v="1"/>
    </i>
    <i>
      <x v="2"/>
    </i>
    <i>
      <x v="3"/>
    </i>
    <i>
      <x v="4"/>
    </i>
    <i>
      <x v="5"/>
    </i>
    <i>
      <x v="6"/>
    </i>
    <i>
      <x v="7"/>
    </i>
    <i>
      <x v="8"/>
    </i>
    <i>
      <x v="9"/>
    </i>
    <i>
      <x v="10"/>
    </i>
    <i>
      <x v="11"/>
    </i>
    <i>
      <x v="12"/>
    </i>
    <i>
      <x v="14"/>
    </i>
    <i>
      <x v="15"/>
    </i>
    <i>
      <x v="16"/>
    </i>
    <i>
      <x v="18"/>
    </i>
    <i>
      <x v="19"/>
    </i>
    <i>
      <x v="20"/>
    </i>
    <i>
      <x v="21"/>
    </i>
    <i t="grand">
      <x/>
    </i>
  </rowItems>
  <colItems count="1">
    <i/>
  </colItems>
  <dataFields count="1">
    <dataField name="Sum of Education expense per student" fld="10" baseField="0" baseItem="0" numFmtId="165"/>
  </dataFields>
  <formats count="1">
    <format dxfId="21">
      <pivotArea outline="0" collapsedLevelsAreSubtotals="1" fieldPosition="0"/>
    </format>
  </formats>
  <chartFormats count="1">
    <chartFormat chart="3" format="0" series="1">
      <pivotArea type="data" outline="0" fieldPosition="0">
        <references count="1">
          <reference field="4294967294" count="1" selected="0">
            <x v="0"/>
          </reference>
        </references>
      </pivotArea>
    </chartFormat>
  </chartFormats>
  <pivotTableStyleInfo name="PivotStyleMedium20"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CC06A2E-C7AF-41AE-A52C-377B09BCA788}" name="PivotTable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9">
  <location ref="A1:B22" firstHeaderRow="1" firstDataRow="1" firstDataCol="1"/>
  <pivotFields count="13">
    <pivotField axis="axisRow" showAll="0">
      <items count="23">
        <item x="2"/>
        <item x="3"/>
        <item x="5"/>
        <item x="14"/>
        <item x="0"/>
        <item x="1"/>
        <item x="11"/>
        <item x="6"/>
        <item x="16"/>
        <item x="19"/>
        <item x="17"/>
        <item x="8"/>
        <item x="10"/>
        <item m="1" x="21"/>
        <item x="13"/>
        <item x="15"/>
        <item x="4"/>
        <item m="1" x="20"/>
        <item x="18"/>
        <item x="9"/>
        <item x="12"/>
        <item x="7"/>
        <item t="default"/>
      </items>
    </pivotField>
    <pivotField showAll="0"/>
    <pivotField dataField="1" showAll="0"/>
    <pivotField showAll="0"/>
    <pivotField numFmtId="10" showAll="0"/>
    <pivotField showAll="0"/>
    <pivotField showAll="0"/>
    <pivotField showAll="0"/>
    <pivotField showAll="0"/>
    <pivotField showAll="0"/>
    <pivotField showAll="0"/>
    <pivotField numFmtId="10" showAll="0"/>
    <pivotField numFmtId="10" showAll="0"/>
  </pivotFields>
  <rowFields count="1">
    <field x="0"/>
  </rowFields>
  <rowItems count="21">
    <i>
      <x/>
    </i>
    <i>
      <x v="1"/>
    </i>
    <i>
      <x v="2"/>
    </i>
    <i>
      <x v="3"/>
    </i>
    <i>
      <x v="4"/>
    </i>
    <i>
      <x v="5"/>
    </i>
    <i>
      <x v="6"/>
    </i>
    <i>
      <x v="7"/>
    </i>
    <i>
      <x v="8"/>
    </i>
    <i>
      <x v="9"/>
    </i>
    <i>
      <x v="10"/>
    </i>
    <i>
      <x v="11"/>
    </i>
    <i>
      <x v="12"/>
    </i>
    <i>
      <x v="14"/>
    </i>
    <i>
      <x v="15"/>
    </i>
    <i>
      <x v="16"/>
    </i>
    <i>
      <x v="18"/>
    </i>
    <i>
      <x v="19"/>
    </i>
    <i>
      <x v="20"/>
    </i>
    <i>
      <x v="21"/>
    </i>
    <i t="grand">
      <x/>
    </i>
  </rowItems>
  <colItems count="1">
    <i/>
  </colItems>
  <dataFields count="1">
    <dataField name="Sum of Population" fld="2" baseField="0" baseItem="0" numFmtId="165"/>
  </dataFields>
  <formats count="1">
    <format dxfId="20">
      <pivotArea outline="0" collapsedLevelsAreSubtotals="1" fieldPosition="0"/>
    </format>
  </formats>
  <chartFormats count="3">
    <chartFormat chart="0" format="0" series="1">
      <pivotArea type="data" outline="0" fieldPosition="0">
        <references count="1">
          <reference field="4294967294" count="1" selected="0">
            <x v="0"/>
          </reference>
        </references>
      </pivotArea>
    </chartFormat>
    <chartFormat chart="1" format="0" series="1">
      <pivotArea type="data" outline="0" fieldPosition="0">
        <references count="1">
          <reference field="4294967294" count="1" selected="0">
            <x v="0"/>
          </reference>
        </references>
      </pivotArea>
    </chartFormat>
    <chartFormat chart="4" format="0" series="1">
      <pivotArea type="data" outline="0" fieldPosition="0">
        <references count="1">
          <reference field="4294967294" count="1" selected="0">
            <x v="0"/>
          </reference>
        </references>
      </pivotArea>
    </chartFormat>
  </chartFormats>
  <pivotTableStyleInfo name="PivotStyleMedium20"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A06827E0-3EC5-43D0-BF31-C2C610F16AA2}" name="PivotTable1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A3:C5" firstHeaderRow="0" firstDataRow="1" firstDataCol="1"/>
  <pivotFields count="13">
    <pivotField axis="axisRow" showAll="0">
      <items count="23">
        <item h="1" x="2"/>
        <item h="1" x="3"/>
        <item h="1" x="5"/>
        <item h="1" x="14"/>
        <item h="1" x="0"/>
        <item h="1" x="1"/>
        <item h="1" x="11"/>
        <item h="1" x="16"/>
        <item h="1" x="19"/>
        <item h="1" x="17"/>
        <item h="1" x="8"/>
        <item h="1" x="10"/>
        <item h="1" m="1" x="21"/>
        <item x="13"/>
        <item h="1" x="15"/>
        <item h="1" m="1" x="20"/>
        <item h="1" x="18"/>
        <item h="1" x="9"/>
        <item h="1" x="12"/>
        <item h="1" x="7"/>
        <item h="1" x="6"/>
        <item h="1" x="4"/>
        <item t="default"/>
      </items>
    </pivotField>
    <pivotField showAll="0"/>
    <pivotField showAll="0"/>
    <pivotField dataField="1" showAll="0"/>
    <pivotField numFmtId="10" showAll="0"/>
    <pivotField dataField="1" showAll="0"/>
    <pivotField showAll="0"/>
    <pivotField showAll="0"/>
    <pivotField showAll="0"/>
    <pivotField showAll="0"/>
    <pivotField showAll="0"/>
    <pivotField numFmtId="10" showAll="0"/>
    <pivotField numFmtId="10" showAll="0"/>
  </pivotFields>
  <rowFields count="1">
    <field x="0"/>
  </rowFields>
  <rowItems count="2">
    <i>
      <x v="13"/>
    </i>
    <i t="grand">
      <x/>
    </i>
  </rowItems>
  <colFields count="1">
    <field x="-2"/>
  </colFields>
  <colItems count="2">
    <i>
      <x/>
    </i>
    <i i="1">
      <x v="1"/>
    </i>
  </colItems>
  <dataFields count="2">
    <dataField name="Sum of Avg Home Price" fld="5" baseField="0" baseItem="0"/>
    <dataField name="Sum of Median Income" fld="3" baseField="0" baseItem="0"/>
  </dataFields>
  <chartFormats count="2">
    <chartFormat chart="0" format="0" series="1">
      <pivotArea type="data" outline="0" fieldPosition="0">
        <references count="1">
          <reference field="4294967294" count="1" selected="0">
            <x v="0"/>
          </reference>
        </references>
      </pivotArea>
    </chartFormat>
    <chartFormat chart="0" format="2"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CCC750AC-563C-4A1F-BCFA-6DDC9630A9AA}" name="PivotTable1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C24" firstHeaderRow="0" firstDataRow="1" firstDataCol="1"/>
  <pivotFields count="13">
    <pivotField axis="axisRow" showAll="0">
      <items count="23">
        <item x="2"/>
        <item x="3"/>
        <item x="5"/>
        <item x="14"/>
        <item x="0"/>
        <item x="1"/>
        <item x="11"/>
        <item x="16"/>
        <item x="19"/>
        <item x="17"/>
        <item x="8"/>
        <item x="10"/>
        <item m="1" x="21"/>
        <item x="13"/>
        <item x="15"/>
        <item m="1" x="20"/>
        <item x="18"/>
        <item x="9"/>
        <item x="12"/>
        <item x="7"/>
        <item x="6"/>
        <item x="4"/>
        <item t="default"/>
      </items>
    </pivotField>
    <pivotField showAll="0"/>
    <pivotField showAll="0"/>
    <pivotField showAll="0"/>
    <pivotField numFmtId="10" showAll="0"/>
    <pivotField showAll="0"/>
    <pivotField showAll="0"/>
    <pivotField dataField="1" showAll="0"/>
    <pivotField showAll="0"/>
    <pivotField dataField="1" showAll="0"/>
    <pivotField showAll="0"/>
    <pivotField numFmtId="10" showAll="0"/>
    <pivotField numFmtId="10" showAll="0"/>
  </pivotFields>
  <rowFields count="1">
    <field x="0"/>
  </rowFields>
  <rowItems count="21">
    <i>
      <x/>
    </i>
    <i>
      <x v="1"/>
    </i>
    <i>
      <x v="2"/>
    </i>
    <i>
      <x v="3"/>
    </i>
    <i>
      <x v="4"/>
    </i>
    <i>
      <x v="5"/>
    </i>
    <i>
      <x v="6"/>
    </i>
    <i>
      <x v="7"/>
    </i>
    <i>
      <x v="8"/>
    </i>
    <i>
      <x v="9"/>
    </i>
    <i>
      <x v="10"/>
    </i>
    <i>
      <x v="11"/>
    </i>
    <i>
      <x v="13"/>
    </i>
    <i>
      <x v="14"/>
    </i>
    <i>
      <x v="16"/>
    </i>
    <i>
      <x v="17"/>
    </i>
    <i>
      <x v="18"/>
    </i>
    <i>
      <x v="19"/>
    </i>
    <i>
      <x v="20"/>
    </i>
    <i>
      <x v="21"/>
    </i>
    <i t="grand">
      <x/>
    </i>
  </rowItems>
  <colFields count="1">
    <field x="-2"/>
  </colFields>
  <colItems count="2">
    <i>
      <x/>
    </i>
    <i i="1">
      <x v="1"/>
    </i>
  </colItems>
  <dataFields count="2">
    <dataField name="Sum of Crime Rank" fld="7" baseField="0" baseItem="0"/>
    <dataField name="Sum of Avg Commute Time" fld="9"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EC22A86E-8E1D-45DB-B2A0-4B9AF7E91EE5}" name="PivotTable1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4">
  <location ref="A3:B24" firstHeaderRow="1" firstDataRow="1" firstDataCol="1"/>
  <pivotFields count="13">
    <pivotField axis="axisRow" showAll="0">
      <items count="23">
        <item x="2"/>
        <item x="3"/>
        <item x="5"/>
        <item x="14"/>
        <item x="0"/>
        <item x="1"/>
        <item x="11"/>
        <item x="16"/>
        <item x="19"/>
        <item x="17"/>
        <item x="8"/>
        <item x="10"/>
        <item m="1" x="21"/>
        <item x="13"/>
        <item x="15"/>
        <item m="1" x="20"/>
        <item x="18"/>
        <item x="9"/>
        <item x="12"/>
        <item x="7"/>
        <item x="6"/>
        <item x="4"/>
        <item t="default"/>
      </items>
    </pivotField>
    <pivotField showAll="0"/>
    <pivotField showAll="0"/>
    <pivotField showAll="0"/>
    <pivotField numFmtId="10" showAll="0"/>
    <pivotField dataField="1" showAll="0"/>
    <pivotField showAll="0"/>
    <pivotField showAll="0"/>
    <pivotField showAll="0"/>
    <pivotField showAll="0"/>
    <pivotField showAll="0"/>
    <pivotField numFmtId="10" showAll="0"/>
    <pivotField numFmtId="10" showAll="0"/>
  </pivotFields>
  <rowFields count="1">
    <field x="0"/>
  </rowFields>
  <rowItems count="21">
    <i>
      <x/>
    </i>
    <i>
      <x v="1"/>
    </i>
    <i>
      <x v="2"/>
    </i>
    <i>
      <x v="3"/>
    </i>
    <i>
      <x v="4"/>
    </i>
    <i>
      <x v="5"/>
    </i>
    <i>
      <x v="6"/>
    </i>
    <i>
      <x v="7"/>
    </i>
    <i>
      <x v="8"/>
    </i>
    <i>
      <x v="9"/>
    </i>
    <i>
      <x v="10"/>
    </i>
    <i>
      <x v="11"/>
    </i>
    <i>
      <x v="13"/>
    </i>
    <i>
      <x v="14"/>
    </i>
    <i>
      <x v="16"/>
    </i>
    <i>
      <x v="17"/>
    </i>
    <i>
      <x v="18"/>
    </i>
    <i>
      <x v="19"/>
    </i>
    <i>
      <x v="20"/>
    </i>
    <i>
      <x v="21"/>
    </i>
    <i t="grand">
      <x/>
    </i>
  </rowItems>
  <colItems count="1">
    <i/>
  </colItems>
  <dataFields count="1">
    <dataField name="Sum of Avg Home Price" fld="5" baseField="0" baseItem="0"/>
  </dataFields>
  <formats count="1">
    <format dxfId="15">
      <pivotArea collapsedLevelsAreSubtotals="1" fieldPosition="0">
        <references count="1">
          <reference field="0" count="0"/>
        </references>
      </pivotArea>
    </format>
  </formats>
  <chartFormats count="1">
    <chartFormat chart="9" format="5"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FF64197-EA77-45A6-B9A6-FA9DB48B3F07}" name="PivotTable1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3">
  <location ref="A3:B24" firstHeaderRow="1" firstDataRow="1" firstDataCol="1"/>
  <pivotFields count="13">
    <pivotField axis="axisRow" showAll="0">
      <items count="23">
        <item x="2"/>
        <item x="3"/>
        <item x="5"/>
        <item x="14"/>
        <item x="0"/>
        <item x="1"/>
        <item x="11"/>
        <item x="16"/>
        <item x="19"/>
        <item x="17"/>
        <item x="8"/>
        <item x="10"/>
        <item m="1" x="21"/>
        <item x="13"/>
        <item x="15"/>
        <item m="1" x="20"/>
        <item x="18"/>
        <item x="9"/>
        <item x="12"/>
        <item x="7"/>
        <item x="6"/>
        <item x="4"/>
        <item t="default"/>
      </items>
    </pivotField>
    <pivotField showAll="0"/>
    <pivotField showAll="0"/>
    <pivotField showAll="0"/>
    <pivotField numFmtId="10" showAll="0"/>
    <pivotField showAll="0"/>
    <pivotField showAll="0"/>
    <pivotField showAll="0"/>
    <pivotField dataField="1" showAll="0"/>
    <pivotField showAll="0"/>
    <pivotField showAll="0"/>
    <pivotField numFmtId="10" showAll="0"/>
    <pivotField numFmtId="10" showAll="0"/>
  </pivotFields>
  <rowFields count="1">
    <field x="0"/>
  </rowFields>
  <rowItems count="21">
    <i>
      <x/>
    </i>
    <i>
      <x v="1"/>
    </i>
    <i>
      <x v="2"/>
    </i>
    <i>
      <x v="3"/>
    </i>
    <i>
      <x v="4"/>
    </i>
    <i>
      <x v="5"/>
    </i>
    <i>
      <x v="6"/>
    </i>
    <i>
      <x v="7"/>
    </i>
    <i>
      <x v="8"/>
    </i>
    <i>
      <x v="9"/>
    </i>
    <i>
      <x v="10"/>
    </i>
    <i>
      <x v="11"/>
    </i>
    <i>
      <x v="13"/>
    </i>
    <i>
      <x v="14"/>
    </i>
    <i>
      <x v="16"/>
    </i>
    <i>
      <x v="17"/>
    </i>
    <i>
      <x v="18"/>
    </i>
    <i>
      <x v="19"/>
    </i>
    <i>
      <x v="20"/>
    </i>
    <i>
      <x v="21"/>
    </i>
    <i t="grand">
      <x/>
    </i>
  </rowItems>
  <colItems count="1">
    <i/>
  </colItems>
  <dataFields count="1">
    <dataField name="Sum of Doctors per 1000000" fld="8" baseField="0" baseItem="0"/>
  </dataFields>
  <chartFormats count="1">
    <chartFormat chart="16" format="6"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219C8F7B-50BA-492A-94F1-7B575161D57C}" name="PivotTable15"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B21" firstHeaderRow="1" firstDataRow="1" firstDataCol="1"/>
  <pivotFields count="13">
    <pivotField showAll="0"/>
    <pivotField axis="axisRow" showAll="0">
      <items count="20">
        <item x="3"/>
        <item x="11"/>
        <item m="1" x="18"/>
        <item x="10"/>
        <item x="5"/>
        <item m="1" x="17"/>
        <item x="13"/>
        <item x="16"/>
        <item x="14"/>
        <item x="8"/>
        <item x="15"/>
        <item x="0"/>
        <item x="4"/>
        <item x="12"/>
        <item x="1"/>
        <item x="9"/>
        <item x="7"/>
        <item x="2"/>
        <item x="6"/>
        <item t="default"/>
      </items>
    </pivotField>
    <pivotField showAll="0"/>
    <pivotField showAll="0"/>
    <pivotField numFmtId="10" showAll="0"/>
    <pivotField showAll="0"/>
    <pivotField showAll="0"/>
    <pivotField showAll="0"/>
    <pivotField showAll="0"/>
    <pivotField showAll="0"/>
    <pivotField showAll="0"/>
    <pivotField dataField="1" numFmtId="10" showAll="0"/>
    <pivotField numFmtId="10" showAll="0"/>
  </pivotFields>
  <rowFields count="1">
    <field x="1"/>
  </rowFields>
  <rowItems count="18">
    <i>
      <x/>
    </i>
    <i>
      <x v="1"/>
    </i>
    <i>
      <x v="3"/>
    </i>
    <i>
      <x v="4"/>
    </i>
    <i>
      <x v="6"/>
    </i>
    <i>
      <x v="7"/>
    </i>
    <i>
      <x v="8"/>
    </i>
    <i>
      <x v="9"/>
    </i>
    <i>
      <x v="10"/>
    </i>
    <i>
      <x v="11"/>
    </i>
    <i>
      <x v="12"/>
    </i>
    <i>
      <x v="13"/>
    </i>
    <i>
      <x v="14"/>
    </i>
    <i>
      <x v="15"/>
    </i>
    <i>
      <x v="16"/>
    </i>
    <i>
      <x v="17"/>
    </i>
    <i>
      <x v="18"/>
    </i>
    <i t="grand">
      <x/>
    </i>
  </rowItems>
  <colItems count="1">
    <i/>
  </colItems>
  <dataFields count="1">
    <dataField name="Sum of Income Tax" fld="11"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7054A8B4-DAB1-4280-9F58-AB74D8E424BF}" name="PivotTable16"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5">
  <location ref="A3:B24" firstHeaderRow="1" firstDataRow="1" firstDataCol="1"/>
  <pivotFields count="13">
    <pivotField axis="axisRow" showAll="0">
      <items count="23">
        <item x="2"/>
        <item x="3"/>
        <item x="5"/>
        <item x="14"/>
        <item x="0"/>
        <item x="1"/>
        <item x="11"/>
        <item x="16"/>
        <item x="19"/>
        <item x="17"/>
        <item x="8"/>
        <item x="10"/>
        <item m="1" x="21"/>
        <item x="13"/>
        <item x="15"/>
        <item m="1" x="20"/>
        <item x="18"/>
        <item x="9"/>
        <item x="12"/>
        <item x="7"/>
        <item x="6"/>
        <item x="4"/>
        <item t="default"/>
      </items>
    </pivotField>
    <pivotField showAll="0"/>
    <pivotField showAll="0"/>
    <pivotField showAll="0"/>
    <pivotField dataField="1" numFmtId="10" showAll="0"/>
    <pivotField showAll="0"/>
    <pivotField showAll="0"/>
    <pivotField showAll="0"/>
    <pivotField showAll="0"/>
    <pivotField showAll="0"/>
    <pivotField showAll="0"/>
    <pivotField numFmtId="10" showAll="0"/>
    <pivotField numFmtId="10" showAll="0"/>
  </pivotFields>
  <rowFields count="1">
    <field x="0"/>
  </rowFields>
  <rowItems count="21">
    <i>
      <x/>
    </i>
    <i>
      <x v="1"/>
    </i>
    <i>
      <x v="2"/>
    </i>
    <i>
      <x v="3"/>
    </i>
    <i>
      <x v="4"/>
    </i>
    <i>
      <x v="5"/>
    </i>
    <i>
      <x v="6"/>
    </i>
    <i>
      <x v="7"/>
    </i>
    <i>
      <x v="8"/>
    </i>
    <i>
      <x v="9"/>
    </i>
    <i>
      <x v="10"/>
    </i>
    <i>
      <x v="11"/>
    </i>
    <i>
      <x v="13"/>
    </i>
    <i>
      <x v="14"/>
    </i>
    <i>
      <x v="16"/>
    </i>
    <i>
      <x v="17"/>
    </i>
    <i>
      <x v="18"/>
    </i>
    <i>
      <x v="19"/>
    </i>
    <i>
      <x v="20"/>
    </i>
    <i>
      <x v="21"/>
    </i>
    <i t="grand">
      <x/>
    </i>
  </rowItems>
  <colItems count="1">
    <i/>
  </colItems>
  <dataFields count="1">
    <dataField name="Sum of Unemployment Rate" fld="4" baseField="0" baseItem="0" numFmtId="10"/>
  </dataFields>
  <chartFormats count="1">
    <chartFormat chart="17"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ities" xr10:uid="{B9DF126D-C39D-4393-8EBD-92ED427D89C2}" sourceName="Cities">
  <pivotTables>
    <pivotTable tabId="2" name="PivotTable11"/>
  </pivotTables>
  <data>
    <tabular pivotCacheId="1944657124">
      <items count="22">
        <i x="2"/>
        <i x="3"/>
        <i x="5"/>
        <i x="14"/>
        <i x="0"/>
        <i x="1"/>
        <i x="11"/>
        <i x="6"/>
        <i x="16"/>
        <i x="19"/>
        <i x="17"/>
        <i x="8"/>
        <i x="10"/>
        <i x="13" s="1"/>
        <i x="15"/>
        <i x="4"/>
        <i x="18"/>
        <i x="9"/>
        <i x="12"/>
        <i x="7"/>
        <i x="21" nd="1"/>
        <i x="20"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ities1" xr10:uid="{75EA67AE-EA85-1541-BFDD-D978FFEAEDFD}" sourceName="Cities">
  <pivotTables>
    <pivotTable tabId="7" name="PivotTable13"/>
  </pivotTables>
  <data>
    <tabular pivotCacheId="1944657124">
      <items count="22">
        <i x="14" s="1"/>
        <i x="2" s="1"/>
        <i x="5" s="1"/>
        <i x="0" s="1"/>
        <i x="1" s="1"/>
        <i x="11" s="1"/>
        <i x="6" s="1"/>
        <i x="16" s="1"/>
        <i x="19" s="1"/>
        <i x="17" s="1"/>
        <i x="8" s="1"/>
        <i x="10" s="1"/>
        <i x="13" s="1"/>
        <i x="3" s="1"/>
        <i x="15" s="1"/>
        <i x="4" s="1"/>
        <i x="18" s="1"/>
        <i x="9" s="1"/>
        <i x="12" s="1"/>
        <i x="7" s="1"/>
        <i x="21" s="1" nd="1"/>
        <i x="20" s="1"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ities2" xr10:uid="{6E190825-C5E5-6345-9D9A-4B5F426D59E8}" sourceName="Cities">
  <pivotTables>
    <pivotTable tabId="8" name="PivotTable14"/>
    <pivotTable tabId="6" name="PivotTable12"/>
    <pivotTable tabId="10" name="PivotTable16"/>
  </pivotTables>
  <data>
    <tabular pivotCacheId="1944657124">
      <items count="22">
        <i x="14" s="1"/>
        <i x="2" s="1"/>
        <i x="5" s="1"/>
        <i x="0" s="1"/>
        <i x="1" s="1"/>
        <i x="11" s="1"/>
        <i x="6" s="1"/>
        <i x="16" s="1"/>
        <i x="19" s="1"/>
        <i x="17" s="1"/>
        <i x="8" s="1"/>
        <i x="10" s="1"/>
        <i x="13" s="1"/>
        <i x="3" s="1"/>
        <i x="15" s="1"/>
        <i x="4" s="1"/>
        <i x="18" s="1"/>
        <i x="9" s="1"/>
        <i x="12" s="1"/>
        <i x="7" s="1"/>
        <i x="21" s="1" nd="1"/>
        <i x="20" s="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ities 1" xr10:uid="{47016061-1BE2-E646-90F0-6350D358CE49}" cache="Slicer_Cities1" caption="Cities" style="SlicerStyleOther2" rowHeight="247650"/>
  <slicer name="Cities 2" xr10:uid="{C2937372-ABEE-F84B-BFFA-6F5A59074471}" cache="Slicer_Cities2" caption="Cities" style="SlicerStyleOther2" rowHeight="2476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ities" xr10:uid="{DFD0FB96-7EE5-4235-9722-2A432A7C8AAA}" cache="Slicer_Cities" caption="Cities" rowHeight="2476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835237E-3384-4663-99AA-25EF909B2E7C}" name="Table2" displayName="Table2" ref="A1:B21" totalsRowShown="0" headerRowDxfId="19" headerRowBorderDxfId="18">
  <autoFilter ref="A1:B21" xr:uid="{6835237E-3384-4663-99AA-25EF909B2E7C}"/>
  <tableColumns count="2">
    <tableColumn id="1" xr3:uid="{635C4B35-A563-444C-BF6D-51B210DA0291}" name="Cities" dataDxfId="17"/>
    <tableColumn id="2" xr3:uid="{BA1AF063-9274-4C67-BD9E-84C54D247E84}" name="Climate" dataDxfId="16"/>
  </tableColumns>
  <tableStyleInfo name="TableStyleLight8"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6616AF9-5FAD-4834-A7F3-2F738324C5E8}" name="Table1" displayName="Table1" ref="A1:M21" totalsRowShown="0" headerRowDxfId="14" dataDxfId="13">
  <autoFilter ref="A1:M21" xr:uid="{B6616AF9-5FAD-4834-A7F3-2F738324C5E8}"/>
  <tableColumns count="13">
    <tableColumn id="1" xr3:uid="{0D0C74B2-EEE6-4475-AAAE-7CA3CB06497E}" name="Cities" dataDxfId="12"/>
    <tableColumn id="2" xr3:uid="{6DADE28E-E22C-4ED8-8FB6-A77682891437}" name="State" dataDxfId="11"/>
    <tableColumn id="3" xr3:uid="{03E17BD0-D892-4CFC-B11F-F27A6E318B67}" name="Population" dataDxfId="10"/>
    <tableColumn id="4" xr3:uid="{F026F99A-88BD-4DCA-8647-8EE1627C2891}" name="Median Income" dataDxfId="9"/>
    <tableColumn id="5" xr3:uid="{F9B42FA3-DE45-49E8-8BB6-3D16C468C48A}" name="Unemployment Rate" dataDxfId="8"/>
    <tableColumn id="6" xr3:uid="{7A5F5875-FB9C-4957-AFC2-6C75ECC86772}" name="Avg Home Price" dataDxfId="7"/>
    <tableColumn id="7" xr3:uid="{666B1330-C60D-4819-9FD6-4B1A43E07F2F}" name="Climate" dataDxfId="6"/>
    <tableColumn id="8" xr3:uid="{6AC8F501-60BE-4C89-99AA-DD40B0F0C2E0}" name="Crime Rank" dataDxfId="5"/>
    <tableColumn id="9" xr3:uid="{DBD52D7E-97B1-480F-9E69-34F4319AC016}" name="Doctors per 1000000" dataDxfId="4"/>
    <tableColumn id="10" xr3:uid="{65FD6A2C-655C-4AFD-8A94-D4E1560CC18A}" name="Avg Commute Time" dataDxfId="3"/>
    <tableColumn id="11" xr3:uid="{6291CB97-7A4F-4714-9C2F-DF43DCF5E0E5}" name="Education expense per student" dataDxfId="2"/>
    <tableColumn id="12" xr3:uid="{D896E001-6D8F-47A1-BFB6-0B6957487AF2}" name="Income Tax" dataDxfId="1"/>
    <tableColumn id="13" xr3:uid="{36B541E2-0065-4890-8690-984735894F5C}" name="Future Job Growth" dataDxfId="0"/>
  </tableColumns>
  <tableStyleInfo name="TableStyleMedium2" showFirstColumn="0" showLastColumn="0" showRowStripes="1" showColumnStripes="0"/>
</table>
</file>

<file path=xl/theme/theme1.xml><?xml version="1.0" encoding="utf-8"?>
<a:theme xmlns:a="http://schemas.openxmlformats.org/drawingml/2006/main" name="View">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View">
      <a:majorFont>
        <a:latin typeface="Century Schoolbook" panose="02040604050505020304"/>
        <a:ea typeface=""/>
        <a:cs typeface=""/>
        <a:font script="Jpan" typeface="ＭＳ ゴシック"/>
        <a:font script="Hang" typeface="맑은 고딕"/>
        <a:font script="Hans" typeface="宋体"/>
        <a:font script="Hant" typeface="新細明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Schoolbook" panose="02040604050505020304"/>
        <a:ea typeface=""/>
        <a:cs typeface=""/>
        <a:font script="Jpan" typeface="ＭＳ ゴシック"/>
        <a:font script="Hang" typeface="맑은 고딕"/>
        <a:font script="Hans" typeface="宋体"/>
        <a:font script="Hant" typeface="新細明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View">
      <a:fillStyleLst>
        <a:solidFill>
          <a:schemeClr val="phClr"/>
        </a:solidFill>
        <a:solidFill>
          <a:schemeClr val="phClr">
            <a:tint val="60000"/>
            <a:satMod val="120000"/>
          </a:schemeClr>
        </a:solidFill>
        <a:solidFill>
          <a:schemeClr val="phClr">
            <a:shade val="75000"/>
            <a:satMod val="160000"/>
          </a:schemeClr>
        </a:solidFill>
      </a:fillStyleLst>
      <a:lnStyleLst>
        <a:ln w="9525" cap="flat" cmpd="sng" algn="ctr">
          <a:solidFill>
            <a:schemeClr val="phClr"/>
          </a:solidFill>
          <a:prstDash val="solid"/>
        </a:ln>
        <a:ln w="13970" cap="flat" cmpd="sng" algn="ctr">
          <a:solidFill>
            <a:schemeClr val="phClr"/>
          </a:solidFill>
          <a:prstDash val="solid"/>
        </a:ln>
        <a:ln w="17145" cap="flat" cmpd="sng" algn="ctr">
          <a:solidFill>
            <a:schemeClr val="phClr">
              <a:shade val="95000"/>
              <a:alpha val="95000"/>
              <a:satMod val="150000"/>
            </a:schemeClr>
          </a:solidFill>
          <a:prstDash val="solid"/>
        </a:ln>
      </a:lnStyleLst>
      <a:effectStyleLst>
        <a:effectStyle>
          <a:effectLst/>
        </a:effectStyle>
        <a:effectStyle>
          <a:effectLst>
            <a:outerShdw blurRad="50800" dist="15240" dir="5400000" algn="tl" rotWithShape="0">
              <a:srgbClr val="000000">
                <a:alpha val="75000"/>
              </a:srgbClr>
            </a:outerShdw>
          </a:effectLst>
          <a:scene3d>
            <a:camera prst="orthographicFront">
              <a:rot lat="0" lon="0" rev="0"/>
            </a:camera>
            <a:lightRig rig="brightRoom" dir="tl"/>
          </a:scene3d>
          <a:sp3d contourW="9525" prstMaterial="flat">
            <a:bevelT w="0" h="0" prst="coolSlant"/>
            <a:contourClr>
              <a:schemeClr val="phClr">
                <a:shade val="35000"/>
                <a:satMod val="130000"/>
              </a:schemeClr>
            </a:contourClr>
          </a:sp3d>
        </a:effectStyle>
        <a:effectStyle>
          <a:effectLst>
            <a:outerShdw blurRad="76200" dist="25400" dir="5400000" algn="tl" rotWithShape="0">
              <a:srgbClr val="000000">
                <a:alpha val="55000"/>
              </a:srgbClr>
            </a:outerShdw>
          </a:effectLst>
          <a:scene3d>
            <a:camera prst="orthographicFront">
              <a:rot lat="0" lon="0" rev="0"/>
            </a:camera>
            <a:lightRig rig="brightRoom" dir="tl"/>
          </a:scene3d>
          <a:sp3d contourW="19050" prstMaterial="flat">
            <a:bevelT w="0" h="0" prst="coolSlant"/>
            <a:contourClr>
              <a:schemeClr val="phClr">
                <a:shade val="25000"/>
                <a:satMod val="140000"/>
              </a:schemeClr>
            </a:contourClr>
          </a:sp3d>
        </a:effectStyle>
      </a:effectStyleLst>
      <a:bgFillStyleLst>
        <a:solidFill>
          <a:schemeClr val="phClr"/>
        </a:solidFill>
        <a:solidFill>
          <a:schemeClr val="phClr">
            <a:tint val="95000"/>
            <a:satMod val="170000"/>
          </a:schemeClr>
        </a:solidFill>
        <a:gradFill rotWithShape="1">
          <a:gsLst>
            <a:gs pos="0">
              <a:schemeClr val="phClr">
                <a:tint val="94000"/>
                <a:shade val="98000"/>
                <a:satMod val="130000"/>
                <a:lumMod val="102000"/>
              </a:schemeClr>
            </a:gs>
            <a:gs pos="100000">
              <a:schemeClr val="phClr">
                <a:tint val="98000"/>
                <a:shade val="78000"/>
                <a:satMod val="140000"/>
              </a:schemeClr>
            </a:gs>
          </a:gsLst>
          <a:path path="circle">
            <a:fillToRect l="100000" t="100000" r="100000" b="100000"/>
          </a:path>
        </a:gradFill>
      </a:bgFillStyleLst>
    </a:fmtScheme>
  </a:themeElements>
  <a:objectDefaults/>
  <a:extraClrSchemeLst/>
  <a:extLst>
    <a:ext uri="{05A4C25C-085E-4340-85A3-A5531E510DB2}">
      <thm15:themeFamily xmlns:thm15="http://schemas.microsoft.com/office/thememl/2012/main" name="View" id="{BA0EB5A6-F2D4-4F82-977B-64ADEE4A2A69}" vid="{3969A8A2-35DB-4E3B-8885-16FD20568674}"/>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6" Type="http://schemas.microsoft.com/office/2007/relationships/slicer" Target="../slicers/slicer1.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ivotTable" Target="../pivotTables/pivotTable1.xml"/><Relationship Id="rId4" Type="http://schemas.openxmlformats.org/officeDocument/2006/relationships/ctrlProp" Target="../ctrlProps/ctrlProp4.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ivotTable" Target="../pivotTables/pivotTable2.xml"/><Relationship Id="rId4" Type="http://schemas.openxmlformats.org/officeDocument/2006/relationships/ctrlProp" Target="../ctrlProps/ctrlProp5.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table" Target="../tables/table1.xml"/></Relationships>
</file>

<file path=xl/worksheets/_rels/sheet5.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5.xml"/><Relationship Id="rId1" Type="http://schemas.openxmlformats.org/officeDocument/2006/relationships/pivotTable" Target="../pivotTables/pivotTable3.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ivotTable" Target="../pivotTables/pivotTable4.xml"/></Relationships>
</file>

<file path=xl/worksheets/_rels/sheet7.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8.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9.xml.rels><?xml version="1.0" encoding="UTF-8" standalone="yes"?>
<Relationships xmlns="http://schemas.openxmlformats.org/package/2006/relationships"><Relationship Id="rId1" Type="http://schemas.openxmlformats.org/officeDocument/2006/relationships/pivotTable" Target="../pivotTables/pivotTable7.xml"/></Relationships>
</file>

<file path=xl/worksheets/_rels/sheet10.xml.rels><?xml version="1.0" encoding="UTF-8" standalone="yes"?>
<Relationships xmlns="http://schemas.openxmlformats.org/package/2006/relationships"><Relationship Id="rId1" Type="http://schemas.openxmlformats.org/officeDocument/2006/relationships/pivotTable" Target="../pivotTables/pivotTable8.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B430D1-19DC-E240-8738-FC82A1C407F0}">
  <sheetPr codeName="Sheet1"/>
  <dimension ref="A1:AD72"/>
  <sheetViews>
    <sheetView showGridLines="0" tabSelected="1" topLeftCell="A2" zoomScale="40" zoomScaleNormal="40" workbookViewId="0">
      <selection activeCell="AI12" sqref="AI12"/>
    </sheetView>
  </sheetViews>
  <sheetFormatPr defaultColWidth="10.6640625" defaultRowHeight="14" x14ac:dyDescent="0.3"/>
  <cols>
    <col min="1" max="1" width="2.33203125" customWidth="1"/>
    <col min="28" max="28" width="2.33203125" customWidth="1"/>
  </cols>
  <sheetData>
    <row r="1" spans="1:30" x14ac:dyDescent="0.3">
      <c r="B1" s="12"/>
      <c r="C1" s="12"/>
      <c r="D1" s="12"/>
      <c r="E1" s="12"/>
      <c r="F1" s="12"/>
      <c r="G1" s="12"/>
      <c r="H1" s="12"/>
      <c r="I1" s="12"/>
      <c r="J1" s="12"/>
      <c r="K1" s="12"/>
      <c r="L1" s="12"/>
      <c r="M1" s="12"/>
      <c r="N1" s="12"/>
      <c r="O1" s="12"/>
      <c r="P1" s="12"/>
      <c r="Q1" s="12"/>
      <c r="R1" s="12"/>
      <c r="S1" s="12"/>
      <c r="T1" s="12"/>
      <c r="U1" s="12"/>
      <c r="V1" s="12"/>
      <c r="W1" s="12"/>
      <c r="X1" s="12"/>
      <c r="Y1" s="12"/>
      <c r="Z1" s="12"/>
      <c r="AA1" s="12"/>
      <c r="AB1" s="12"/>
      <c r="AC1" s="12"/>
      <c r="AD1" s="12"/>
    </row>
    <row r="2" spans="1:30" x14ac:dyDescent="0.3">
      <c r="A2" s="12"/>
      <c r="B2" s="12"/>
      <c r="C2" s="12"/>
      <c r="D2" s="12"/>
      <c r="E2" s="12"/>
      <c r="F2" s="12"/>
      <c r="G2" s="12"/>
      <c r="H2" s="12"/>
      <c r="I2" s="12"/>
      <c r="J2" s="12"/>
      <c r="K2" s="12"/>
      <c r="L2" s="12"/>
      <c r="M2" s="12"/>
      <c r="N2" s="12"/>
      <c r="O2" s="12"/>
      <c r="P2" s="12"/>
      <c r="Q2" s="12"/>
      <c r="R2" s="12"/>
      <c r="S2" s="12"/>
      <c r="T2" s="12"/>
      <c r="U2" s="12"/>
      <c r="V2" s="12"/>
      <c r="W2" s="12"/>
      <c r="X2" s="12"/>
      <c r="Y2" s="12"/>
      <c r="Z2" s="12"/>
      <c r="AA2" s="12"/>
      <c r="AB2" s="12"/>
      <c r="AC2" s="12"/>
      <c r="AD2" s="12"/>
    </row>
    <row r="3" spans="1:30" x14ac:dyDescent="0.3">
      <c r="A3" s="12"/>
      <c r="B3" s="12"/>
      <c r="C3" s="12"/>
      <c r="D3" s="12"/>
      <c r="E3" s="12"/>
      <c r="F3" s="12"/>
      <c r="G3" s="12"/>
      <c r="H3" s="12"/>
      <c r="I3" s="12"/>
      <c r="J3" s="12"/>
      <c r="K3" s="12"/>
      <c r="L3" s="12"/>
      <c r="M3" s="12"/>
      <c r="N3" s="12"/>
      <c r="O3" s="12"/>
      <c r="P3" s="12"/>
      <c r="Q3" s="12"/>
      <c r="R3" s="12"/>
      <c r="S3" s="12"/>
      <c r="T3" s="12"/>
      <c r="U3" s="12"/>
      <c r="V3" s="12"/>
      <c r="W3" s="12"/>
      <c r="X3" s="12"/>
      <c r="Y3" s="12"/>
      <c r="Z3" s="12"/>
      <c r="AA3" s="12"/>
      <c r="AB3" s="12"/>
      <c r="AC3" s="12"/>
      <c r="AD3" s="12"/>
    </row>
    <row r="4" spans="1:30" x14ac:dyDescent="0.3">
      <c r="A4" s="12"/>
      <c r="B4" s="12"/>
      <c r="C4" s="12"/>
      <c r="D4" s="12"/>
      <c r="E4" s="12"/>
      <c r="F4" s="12"/>
      <c r="G4" s="12"/>
      <c r="H4" s="12"/>
      <c r="I4" s="12"/>
      <c r="J4" s="12"/>
      <c r="K4" s="12"/>
      <c r="L4" s="12"/>
      <c r="M4" s="12"/>
      <c r="N4" s="12"/>
      <c r="O4" s="12"/>
      <c r="P4" s="12"/>
      <c r="Q4" s="12"/>
      <c r="R4" s="12"/>
      <c r="S4" s="12"/>
      <c r="T4" s="12"/>
      <c r="U4" s="12"/>
      <c r="V4" s="12"/>
      <c r="W4" s="12"/>
      <c r="X4" s="12"/>
      <c r="Y4" s="12"/>
      <c r="Z4" s="12"/>
      <c r="AA4" s="12"/>
      <c r="AB4" s="12"/>
      <c r="AC4" s="12"/>
      <c r="AD4" s="12"/>
    </row>
    <row r="5" spans="1:30" x14ac:dyDescent="0.3">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row>
    <row r="6" spans="1:30" x14ac:dyDescent="0.3">
      <c r="A6" s="12"/>
      <c r="B6" s="12"/>
      <c r="C6" s="12"/>
      <c r="D6" s="12"/>
      <c r="E6" s="12"/>
      <c r="F6" s="12"/>
      <c r="G6" s="12"/>
      <c r="H6" s="12"/>
      <c r="I6" s="12"/>
      <c r="J6" s="12"/>
      <c r="K6" s="12"/>
      <c r="L6" s="12"/>
      <c r="M6" s="12"/>
      <c r="N6" s="12"/>
      <c r="O6" s="12"/>
      <c r="P6" s="12"/>
      <c r="Q6" s="12"/>
      <c r="R6" s="12"/>
      <c r="S6" s="12"/>
      <c r="T6" s="12"/>
      <c r="U6" s="12"/>
      <c r="V6" s="12"/>
      <c r="W6" s="12"/>
      <c r="X6" s="12"/>
      <c r="Y6" s="12"/>
      <c r="Z6" s="12"/>
      <c r="AA6" s="12"/>
      <c r="AB6" s="12"/>
      <c r="AC6" s="12"/>
      <c r="AD6" s="12"/>
    </row>
    <row r="7" spans="1:30" x14ac:dyDescent="0.3">
      <c r="A7" s="12"/>
      <c r="B7" s="12"/>
      <c r="C7" s="12"/>
      <c r="D7" s="12"/>
      <c r="E7" s="12"/>
      <c r="F7" s="12"/>
      <c r="G7" s="12"/>
      <c r="H7" s="12"/>
      <c r="I7" s="12"/>
      <c r="J7" s="12"/>
      <c r="K7" s="12"/>
      <c r="L7" s="12"/>
      <c r="M7" s="12"/>
      <c r="N7" s="12"/>
      <c r="O7" s="12"/>
      <c r="P7" s="12"/>
      <c r="Q7" s="12"/>
      <c r="R7" s="12"/>
      <c r="S7" s="12"/>
      <c r="T7" s="12"/>
      <c r="U7" s="12"/>
      <c r="V7" s="12"/>
      <c r="W7" s="12"/>
      <c r="X7" s="12"/>
      <c r="Y7" s="12"/>
      <c r="Z7" s="12"/>
      <c r="AA7" s="12"/>
      <c r="AB7" s="12"/>
      <c r="AC7" s="12"/>
      <c r="AD7" s="12"/>
    </row>
    <row r="8" spans="1:30" x14ac:dyDescent="0.3">
      <c r="A8" s="12"/>
      <c r="B8" s="12"/>
      <c r="C8" s="12"/>
      <c r="D8" s="12"/>
      <c r="E8" s="12"/>
      <c r="F8" s="12"/>
      <c r="G8" s="12"/>
      <c r="H8" s="12"/>
      <c r="I8" s="12"/>
      <c r="J8" s="12"/>
      <c r="K8" s="12"/>
      <c r="L8" s="12"/>
      <c r="M8" s="12"/>
      <c r="N8" s="12"/>
      <c r="O8" s="12"/>
      <c r="P8" s="12"/>
      <c r="Q8" s="12"/>
      <c r="R8" s="12"/>
      <c r="S8" s="12"/>
      <c r="T8" s="12"/>
      <c r="U8" s="12"/>
      <c r="V8" s="12"/>
      <c r="W8" s="12"/>
      <c r="X8" s="12"/>
      <c r="Y8" s="12"/>
      <c r="Z8" s="12"/>
      <c r="AA8" s="12"/>
      <c r="AB8" s="12"/>
      <c r="AC8" s="12"/>
      <c r="AD8" s="12"/>
    </row>
    <row r="9" spans="1:30" x14ac:dyDescent="0.3">
      <c r="A9" s="12"/>
      <c r="B9" s="12"/>
      <c r="C9" s="12"/>
      <c r="D9" s="12"/>
      <c r="E9" s="12"/>
      <c r="F9" s="12"/>
      <c r="G9" s="12"/>
      <c r="H9" s="12"/>
      <c r="I9" s="12"/>
      <c r="J9" s="12"/>
      <c r="K9" s="12"/>
      <c r="L9" s="12"/>
      <c r="M9" s="12"/>
      <c r="N9" s="12"/>
      <c r="O9" s="12"/>
      <c r="P9" s="12"/>
      <c r="Q9" s="12"/>
      <c r="R9" s="12"/>
      <c r="S9" s="12"/>
      <c r="T9" s="12"/>
      <c r="U9" s="12"/>
      <c r="V9" s="12"/>
      <c r="W9" s="12"/>
      <c r="X9" s="12"/>
      <c r="Y9" s="12"/>
      <c r="Z9" s="12"/>
      <c r="AA9" s="12"/>
      <c r="AB9" s="12"/>
      <c r="AC9" s="12"/>
      <c r="AD9" s="12"/>
    </row>
    <row r="10" spans="1:30" x14ac:dyDescent="0.3">
      <c r="A10" s="12"/>
      <c r="B10" s="12"/>
      <c r="C10" s="12"/>
      <c r="D10" s="12"/>
      <c r="E10" s="12"/>
      <c r="F10" s="12"/>
      <c r="G10" s="12"/>
      <c r="H10" s="12"/>
      <c r="I10" s="12"/>
      <c r="J10" s="12"/>
      <c r="K10" s="12"/>
      <c r="L10" s="12"/>
      <c r="M10" s="12"/>
      <c r="N10" s="12"/>
      <c r="O10" s="12"/>
      <c r="P10" s="12"/>
      <c r="Q10" s="12"/>
      <c r="R10" s="12"/>
      <c r="S10" s="12"/>
      <c r="T10" s="12"/>
      <c r="U10" s="12"/>
      <c r="V10" s="12"/>
      <c r="W10" s="12"/>
      <c r="X10" s="12"/>
      <c r="Y10" s="12"/>
      <c r="Z10" s="12"/>
      <c r="AA10" s="12"/>
      <c r="AB10" s="12"/>
      <c r="AC10" s="12"/>
      <c r="AD10" s="12"/>
    </row>
    <row r="11" spans="1:30" x14ac:dyDescent="0.3">
      <c r="A11" s="12"/>
      <c r="B11" s="12"/>
      <c r="C11" s="12"/>
      <c r="D11" s="12"/>
      <c r="E11" s="12"/>
      <c r="F11" s="12"/>
      <c r="G11" s="12"/>
      <c r="H11" s="12"/>
      <c r="I11" s="12"/>
      <c r="J11" s="12"/>
      <c r="K11" s="12"/>
      <c r="L11" s="12"/>
      <c r="M11" s="12"/>
      <c r="N11" s="12"/>
      <c r="O11" s="12"/>
      <c r="P11" s="12"/>
      <c r="Q11" s="12"/>
      <c r="R11" s="12"/>
      <c r="S11" s="12"/>
      <c r="T11" s="12"/>
      <c r="U11" s="12"/>
      <c r="V11" s="12"/>
      <c r="W11" s="12"/>
      <c r="X11" s="12"/>
      <c r="Y11" s="12"/>
      <c r="Z11" s="12"/>
      <c r="AA11" s="12"/>
      <c r="AB11" s="12"/>
      <c r="AC11" s="12"/>
      <c r="AD11" s="12"/>
    </row>
    <row r="12" spans="1:30" x14ac:dyDescent="0.3">
      <c r="A12" s="12"/>
      <c r="B12" s="12"/>
      <c r="C12" s="12"/>
      <c r="D12" s="12"/>
      <c r="E12" s="12"/>
      <c r="F12" s="12"/>
      <c r="G12" s="12"/>
      <c r="H12" s="12"/>
      <c r="I12" s="12"/>
      <c r="J12" s="12"/>
      <c r="K12" s="12"/>
      <c r="L12" s="12"/>
      <c r="M12" s="12"/>
      <c r="N12" s="12"/>
      <c r="O12" s="12"/>
      <c r="P12" s="12"/>
      <c r="Q12" s="12"/>
      <c r="R12" s="12"/>
      <c r="S12" s="12"/>
      <c r="T12" s="12"/>
      <c r="U12" s="12"/>
      <c r="V12" s="12"/>
      <c r="W12" s="12"/>
      <c r="X12" s="12"/>
      <c r="Y12" s="12"/>
      <c r="Z12" s="12"/>
      <c r="AA12" s="12"/>
      <c r="AB12" s="12"/>
      <c r="AC12" s="12"/>
      <c r="AD12" s="12"/>
    </row>
    <row r="13" spans="1:30" x14ac:dyDescent="0.3">
      <c r="A13" s="12"/>
      <c r="B13" s="12"/>
      <c r="C13" s="12"/>
      <c r="D13" s="12"/>
      <c r="E13" s="12"/>
      <c r="F13" s="12"/>
      <c r="G13" s="12"/>
      <c r="H13" s="12"/>
      <c r="I13" s="12"/>
      <c r="J13" s="12"/>
      <c r="K13" s="12"/>
      <c r="L13" s="12"/>
      <c r="M13" s="12"/>
      <c r="N13" s="12"/>
      <c r="O13" s="12"/>
      <c r="P13" s="12"/>
      <c r="Q13" s="12"/>
      <c r="R13" s="12"/>
      <c r="S13" s="12"/>
      <c r="T13" s="12"/>
      <c r="U13" s="12"/>
      <c r="V13" s="12"/>
      <c r="W13" s="12"/>
      <c r="X13" s="12"/>
      <c r="Y13" s="12"/>
      <c r="Z13" s="12"/>
      <c r="AA13" s="12"/>
      <c r="AB13" s="12"/>
      <c r="AC13" s="12"/>
      <c r="AD13" s="12"/>
    </row>
    <row r="14" spans="1:30" x14ac:dyDescent="0.3">
      <c r="A14" s="12"/>
      <c r="B14" s="12"/>
      <c r="C14" s="12"/>
      <c r="D14" s="12"/>
      <c r="E14" s="12"/>
      <c r="F14" s="12"/>
      <c r="G14" s="12"/>
      <c r="H14" s="12"/>
      <c r="I14" s="12"/>
      <c r="J14" s="12"/>
      <c r="K14" s="12"/>
      <c r="L14" s="12"/>
      <c r="M14" s="12"/>
      <c r="N14" s="12"/>
      <c r="O14" s="12"/>
      <c r="P14" s="12"/>
      <c r="Q14" s="12"/>
      <c r="R14" s="12"/>
      <c r="S14" s="12"/>
      <c r="T14" s="12"/>
      <c r="U14" s="12"/>
      <c r="V14" s="12"/>
      <c r="W14" s="12"/>
      <c r="X14" s="12"/>
      <c r="Y14" s="12"/>
      <c r="Z14" s="12"/>
      <c r="AA14" s="12"/>
      <c r="AB14" s="12"/>
      <c r="AC14" s="12"/>
      <c r="AD14" s="12"/>
    </row>
    <row r="15" spans="1:30" x14ac:dyDescent="0.3">
      <c r="A15" s="12"/>
      <c r="B15" s="12"/>
      <c r="C15" s="12"/>
      <c r="D15" s="12"/>
      <c r="E15" s="12"/>
      <c r="F15" s="12"/>
      <c r="G15" s="12"/>
      <c r="H15" s="12"/>
      <c r="I15" s="12"/>
      <c r="J15" s="12"/>
      <c r="K15" s="12"/>
      <c r="L15" s="12"/>
      <c r="M15" s="12"/>
      <c r="N15" s="12"/>
      <c r="O15" s="12"/>
      <c r="P15" s="12"/>
      <c r="Q15" s="12"/>
      <c r="R15" s="12"/>
      <c r="S15" s="12"/>
      <c r="T15" s="12"/>
      <c r="U15" s="12"/>
      <c r="V15" s="12"/>
      <c r="W15" s="12"/>
      <c r="X15" s="12"/>
      <c r="Y15" s="12"/>
      <c r="Z15" s="12"/>
      <c r="AA15" s="12"/>
      <c r="AB15" s="12"/>
      <c r="AC15" s="12"/>
      <c r="AD15" s="12"/>
    </row>
    <row r="16" spans="1:30" x14ac:dyDescent="0.3">
      <c r="A16" s="12"/>
      <c r="B16" s="12"/>
      <c r="C16" s="12"/>
      <c r="D16" s="12"/>
      <c r="E16" s="12"/>
      <c r="F16" s="12"/>
      <c r="G16" s="12"/>
      <c r="H16" s="12"/>
      <c r="I16" s="12"/>
      <c r="J16" s="12"/>
      <c r="K16" s="12"/>
      <c r="L16" s="12"/>
      <c r="M16" s="12"/>
      <c r="N16" s="12"/>
      <c r="O16" s="12"/>
      <c r="P16" s="12"/>
      <c r="Q16" s="12"/>
      <c r="R16" s="12"/>
      <c r="S16" s="12"/>
      <c r="T16" s="12"/>
      <c r="U16" s="12"/>
      <c r="V16" s="12"/>
      <c r="W16" s="12"/>
      <c r="X16" s="12"/>
      <c r="Y16" s="12"/>
      <c r="Z16" s="12"/>
      <c r="AA16" s="12"/>
      <c r="AB16" s="12"/>
      <c r="AC16" s="12"/>
      <c r="AD16" s="12"/>
    </row>
    <row r="17" spans="1:30" x14ac:dyDescent="0.3">
      <c r="A17" s="12"/>
      <c r="B17" s="12"/>
      <c r="C17" s="12"/>
      <c r="D17" s="12"/>
      <c r="E17" s="12"/>
      <c r="F17" s="12"/>
      <c r="G17" s="12"/>
      <c r="H17" s="12"/>
      <c r="I17" s="12"/>
      <c r="J17" s="12"/>
      <c r="K17" s="12"/>
      <c r="L17" s="12"/>
      <c r="M17" s="12"/>
      <c r="N17" s="12"/>
      <c r="O17" s="12"/>
      <c r="P17" s="12"/>
      <c r="Q17" s="12"/>
      <c r="R17" s="12"/>
      <c r="S17" s="12"/>
      <c r="T17" s="12"/>
      <c r="U17" s="12"/>
      <c r="V17" s="12"/>
      <c r="W17" s="12"/>
      <c r="X17" s="12"/>
      <c r="Y17" s="12"/>
      <c r="Z17" s="12"/>
      <c r="AA17" s="12"/>
      <c r="AB17" s="12"/>
      <c r="AC17" s="12"/>
      <c r="AD17" s="12"/>
    </row>
    <row r="18" spans="1:30" x14ac:dyDescent="0.3">
      <c r="A18" s="12"/>
      <c r="B18" s="12"/>
      <c r="C18" s="12"/>
      <c r="D18" s="12"/>
      <c r="E18" s="12"/>
      <c r="F18" s="12"/>
      <c r="G18" s="12"/>
      <c r="H18" s="12"/>
      <c r="I18" s="12"/>
      <c r="J18" s="12"/>
      <c r="K18" s="12"/>
      <c r="L18" s="12"/>
      <c r="M18" s="12"/>
      <c r="N18" s="12"/>
      <c r="O18" s="12"/>
      <c r="P18" s="12"/>
      <c r="Q18" s="12"/>
      <c r="R18" s="12"/>
      <c r="S18" s="12"/>
      <c r="T18" s="12"/>
      <c r="U18" s="12"/>
      <c r="V18" s="12"/>
      <c r="W18" s="12"/>
      <c r="X18" s="12"/>
      <c r="Y18" s="12"/>
      <c r="Z18" s="12"/>
      <c r="AA18" s="12"/>
      <c r="AB18" s="12"/>
      <c r="AC18" s="12"/>
      <c r="AD18" s="12"/>
    </row>
    <row r="19" spans="1:30" x14ac:dyDescent="0.3">
      <c r="A19" s="12"/>
      <c r="B19" s="12"/>
      <c r="C19" s="12"/>
      <c r="D19" s="12"/>
      <c r="E19" s="12"/>
      <c r="F19" s="12"/>
      <c r="G19" s="12"/>
      <c r="H19" s="12"/>
      <c r="I19" s="12"/>
      <c r="J19" s="12"/>
      <c r="K19" s="12"/>
      <c r="L19" s="12"/>
      <c r="M19" s="12"/>
      <c r="N19" s="12"/>
      <c r="O19" s="12"/>
      <c r="P19" s="12"/>
      <c r="Q19" s="12"/>
      <c r="R19" s="12"/>
      <c r="S19" s="12"/>
      <c r="T19" s="12"/>
      <c r="U19" s="12"/>
      <c r="V19" s="12"/>
      <c r="W19" s="12"/>
      <c r="X19" s="12"/>
      <c r="Y19" s="12"/>
      <c r="Z19" s="12"/>
      <c r="AA19" s="12"/>
      <c r="AB19" s="12"/>
      <c r="AC19" s="12"/>
      <c r="AD19" s="12"/>
    </row>
    <row r="20" spans="1:30" x14ac:dyDescent="0.3">
      <c r="A20" s="12"/>
      <c r="B20" s="12"/>
      <c r="C20" s="12"/>
      <c r="D20" s="12"/>
      <c r="E20" s="12"/>
      <c r="F20" s="12"/>
      <c r="G20" s="12"/>
      <c r="H20" s="12"/>
      <c r="I20" s="12"/>
      <c r="J20" s="12"/>
      <c r="K20" s="12"/>
      <c r="L20" s="12"/>
      <c r="M20" s="12"/>
      <c r="N20" s="12"/>
      <c r="O20" s="12"/>
      <c r="P20" s="12"/>
      <c r="Q20" s="12"/>
      <c r="R20" s="12"/>
      <c r="S20" s="12"/>
      <c r="T20" s="12"/>
      <c r="U20" s="12"/>
      <c r="V20" s="12"/>
      <c r="W20" s="12"/>
      <c r="X20" s="12"/>
      <c r="Y20" s="12"/>
      <c r="Z20" s="12"/>
      <c r="AA20" s="12"/>
      <c r="AB20" s="12"/>
      <c r="AC20" s="12"/>
      <c r="AD20" s="12"/>
    </row>
    <row r="21" spans="1:30" x14ac:dyDescent="0.3">
      <c r="A21" s="12"/>
      <c r="B21" s="12"/>
      <c r="C21" s="12"/>
      <c r="D21" s="12"/>
      <c r="E21" s="12"/>
      <c r="F21" s="12"/>
      <c r="G21" s="12"/>
      <c r="H21" s="12"/>
      <c r="I21" s="12"/>
      <c r="J21" s="12"/>
      <c r="K21" s="12"/>
      <c r="L21" s="12"/>
      <c r="M21" s="12"/>
      <c r="N21" s="12"/>
      <c r="O21" s="12"/>
      <c r="P21" s="12"/>
      <c r="Q21" s="12"/>
      <c r="R21" s="12"/>
      <c r="S21" s="12"/>
      <c r="T21" s="12"/>
      <c r="U21" s="12"/>
      <c r="V21" s="12"/>
      <c r="W21" s="12"/>
      <c r="X21" s="12"/>
      <c r="Y21" s="12"/>
      <c r="Z21" s="12"/>
      <c r="AA21" s="12"/>
      <c r="AB21" s="12"/>
      <c r="AC21" s="12"/>
      <c r="AD21" s="12"/>
    </row>
    <row r="22" spans="1:30" x14ac:dyDescent="0.3">
      <c r="A22" s="12"/>
      <c r="B22" s="12"/>
      <c r="C22" s="12"/>
      <c r="D22" s="12"/>
      <c r="E22" s="12"/>
      <c r="F22" s="12"/>
      <c r="G22" s="12"/>
      <c r="H22" s="12"/>
      <c r="I22" s="12"/>
      <c r="J22" s="12"/>
      <c r="K22" s="12"/>
      <c r="L22" s="12"/>
      <c r="M22" s="12"/>
      <c r="N22" s="12"/>
      <c r="O22" s="12"/>
      <c r="P22" s="12"/>
      <c r="Q22" s="12"/>
      <c r="R22" s="12"/>
      <c r="S22" s="12"/>
      <c r="T22" s="12"/>
      <c r="U22" s="12"/>
      <c r="V22" s="12"/>
      <c r="W22" s="12"/>
      <c r="X22" s="12"/>
      <c r="Y22" s="12"/>
      <c r="Z22" s="12"/>
      <c r="AA22" s="12"/>
      <c r="AB22" s="12"/>
      <c r="AC22" s="12"/>
      <c r="AD22" s="12"/>
    </row>
    <row r="23" spans="1:30" x14ac:dyDescent="0.3">
      <c r="A23" s="12"/>
      <c r="B23" s="12"/>
      <c r="C23" s="12"/>
      <c r="D23" s="12"/>
      <c r="E23" s="12"/>
      <c r="F23" s="12"/>
      <c r="G23" s="12"/>
      <c r="H23" s="12"/>
      <c r="I23" s="12"/>
      <c r="J23" s="12"/>
      <c r="K23" s="12"/>
      <c r="L23" s="12"/>
      <c r="M23" s="12"/>
      <c r="N23" s="12"/>
      <c r="O23" s="12"/>
      <c r="P23" s="12"/>
      <c r="Q23" s="12"/>
      <c r="R23" s="12"/>
      <c r="S23" s="12"/>
      <c r="T23" s="12"/>
      <c r="U23" s="12"/>
      <c r="V23" s="12"/>
      <c r="W23" s="12"/>
      <c r="X23" s="12"/>
      <c r="Y23" s="12"/>
      <c r="Z23" s="12"/>
      <c r="AA23" s="12"/>
      <c r="AB23" s="12"/>
      <c r="AC23" s="12"/>
      <c r="AD23" s="12"/>
    </row>
    <row r="24" spans="1:30" x14ac:dyDescent="0.3">
      <c r="A24" s="12"/>
      <c r="B24" s="12"/>
      <c r="C24" s="12"/>
      <c r="D24" s="12"/>
      <c r="E24" s="12"/>
      <c r="F24" s="12"/>
      <c r="G24" s="12"/>
      <c r="H24" s="12"/>
      <c r="I24" s="12"/>
      <c r="J24" s="12"/>
      <c r="K24" s="12"/>
      <c r="L24" s="12"/>
      <c r="M24" s="12"/>
      <c r="N24" s="12"/>
      <c r="O24" s="12"/>
      <c r="P24" s="12"/>
      <c r="Q24" s="12"/>
      <c r="R24" s="12"/>
      <c r="S24" s="12"/>
      <c r="T24" s="12"/>
      <c r="U24" s="12"/>
      <c r="V24" s="12"/>
      <c r="W24" s="12"/>
      <c r="X24" s="12"/>
      <c r="Y24" s="12"/>
      <c r="Z24" s="12"/>
      <c r="AA24" s="12"/>
      <c r="AB24" s="12"/>
      <c r="AC24" s="12"/>
      <c r="AD24" s="12"/>
    </row>
    <row r="25" spans="1:30" x14ac:dyDescent="0.3">
      <c r="A25" s="12"/>
      <c r="B25" s="12"/>
      <c r="C25" s="12"/>
      <c r="D25" s="12"/>
      <c r="E25" s="12"/>
      <c r="F25" s="12"/>
      <c r="G25" s="12"/>
      <c r="H25" s="12"/>
      <c r="I25" s="12"/>
      <c r="J25" s="12"/>
      <c r="K25" s="12"/>
      <c r="L25" s="12"/>
      <c r="M25" s="12"/>
      <c r="N25" s="12"/>
      <c r="O25" s="12"/>
      <c r="P25" s="12"/>
      <c r="Q25" s="12"/>
      <c r="R25" s="12"/>
      <c r="S25" s="12"/>
      <c r="T25" s="12"/>
      <c r="U25" s="12"/>
      <c r="V25" s="12"/>
      <c r="W25" s="12"/>
      <c r="X25" s="12"/>
      <c r="Y25" s="12"/>
      <c r="Z25" s="12"/>
      <c r="AA25" s="12"/>
      <c r="AB25" s="12"/>
      <c r="AC25" s="12"/>
      <c r="AD25" s="12"/>
    </row>
    <row r="26" spans="1:30" x14ac:dyDescent="0.3">
      <c r="A26" s="12"/>
      <c r="B26" s="12"/>
      <c r="C26" s="12"/>
      <c r="D26" s="12"/>
      <c r="E26" s="12"/>
      <c r="F26" s="12"/>
      <c r="G26" s="12"/>
      <c r="H26" s="12"/>
      <c r="I26" s="12"/>
      <c r="J26" s="12"/>
      <c r="K26" s="12"/>
      <c r="L26" s="12"/>
      <c r="M26" s="12"/>
      <c r="N26" s="12"/>
      <c r="O26" s="12"/>
      <c r="P26" s="12"/>
      <c r="Q26" s="12"/>
      <c r="R26" s="12"/>
      <c r="S26" s="12"/>
      <c r="T26" s="12"/>
      <c r="U26" s="12"/>
      <c r="V26" s="12"/>
      <c r="W26" s="12"/>
      <c r="X26" s="12"/>
      <c r="Y26" s="12"/>
      <c r="Z26" s="12"/>
      <c r="AA26" s="12"/>
      <c r="AB26" s="12"/>
      <c r="AC26" s="12"/>
      <c r="AD26" s="12"/>
    </row>
    <row r="27" spans="1:30" x14ac:dyDescent="0.3">
      <c r="A27" s="12"/>
      <c r="B27" s="12"/>
      <c r="C27" s="12"/>
      <c r="D27" s="12"/>
      <c r="E27" s="12"/>
      <c r="F27" s="12"/>
      <c r="G27" s="12"/>
      <c r="H27" s="12"/>
      <c r="I27" s="12"/>
      <c r="J27" s="12"/>
      <c r="K27" s="12"/>
      <c r="L27" s="12"/>
      <c r="M27" s="12"/>
      <c r="N27" s="12"/>
      <c r="O27" s="12"/>
      <c r="P27" s="12"/>
      <c r="Q27" s="12"/>
      <c r="R27" s="12"/>
      <c r="S27" s="12"/>
      <c r="T27" s="12"/>
      <c r="U27" s="12"/>
      <c r="V27" s="12"/>
      <c r="W27" s="12"/>
      <c r="X27" s="12"/>
      <c r="Y27" s="12"/>
      <c r="Z27" s="12"/>
      <c r="AA27" s="12"/>
      <c r="AB27" s="12"/>
      <c r="AC27" s="12"/>
      <c r="AD27" s="12"/>
    </row>
    <row r="28" spans="1:30" x14ac:dyDescent="0.3">
      <c r="A28" s="12"/>
      <c r="B28" s="12"/>
      <c r="C28" s="12"/>
      <c r="D28" s="12"/>
      <c r="E28" s="12"/>
      <c r="F28" s="12"/>
      <c r="G28" s="12"/>
      <c r="H28" s="12"/>
      <c r="I28" s="12"/>
      <c r="J28" s="12"/>
      <c r="K28" s="12"/>
      <c r="L28" s="12"/>
      <c r="M28" s="12"/>
      <c r="N28" s="12"/>
      <c r="O28" s="12"/>
      <c r="P28" s="12"/>
      <c r="Q28" s="12"/>
      <c r="R28" s="12"/>
      <c r="S28" s="12"/>
      <c r="T28" s="12"/>
      <c r="U28" s="12"/>
      <c r="V28" s="12"/>
      <c r="W28" s="12"/>
      <c r="X28" s="12"/>
      <c r="Y28" s="12"/>
      <c r="Z28" s="12"/>
      <c r="AA28" s="12"/>
      <c r="AB28" s="12"/>
      <c r="AC28" s="12"/>
      <c r="AD28" s="12"/>
    </row>
    <row r="29" spans="1:30" x14ac:dyDescent="0.3">
      <c r="A29" s="12"/>
      <c r="B29" s="12"/>
      <c r="C29" s="12"/>
      <c r="D29" s="12"/>
      <c r="E29" s="12"/>
      <c r="F29" s="12"/>
      <c r="G29" s="12"/>
      <c r="H29" s="12"/>
      <c r="I29" s="12"/>
      <c r="J29" s="12"/>
      <c r="K29" s="12"/>
      <c r="L29" s="12"/>
      <c r="M29" s="12"/>
      <c r="N29" s="12"/>
      <c r="O29" s="12"/>
      <c r="P29" s="12"/>
      <c r="Q29" s="12"/>
      <c r="R29" s="12"/>
      <c r="S29" s="12"/>
      <c r="T29" s="12"/>
      <c r="U29" s="12"/>
      <c r="V29" s="12"/>
      <c r="W29" s="12"/>
      <c r="X29" s="12"/>
      <c r="Y29" s="12"/>
      <c r="Z29" s="12"/>
      <c r="AA29" s="12"/>
      <c r="AB29" s="12"/>
      <c r="AC29" s="12"/>
      <c r="AD29" s="12"/>
    </row>
    <row r="30" spans="1:30" x14ac:dyDescent="0.3">
      <c r="A30" s="12"/>
      <c r="B30" s="12"/>
      <c r="C30" s="12"/>
      <c r="D30" s="12"/>
      <c r="E30" s="12"/>
      <c r="F30" s="12"/>
      <c r="G30" s="12"/>
      <c r="H30" s="12"/>
      <c r="I30" s="12"/>
      <c r="J30" s="12"/>
      <c r="K30" s="12"/>
      <c r="L30" s="12"/>
      <c r="M30" s="12"/>
      <c r="N30" s="12"/>
      <c r="O30" s="12"/>
      <c r="P30" s="12"/>
      <c r="Q30" s="12"/>
      <c r="R30" s="12"/>
      <c r="S30" s="12"/>
      <c r="T30" s="12"/>
      <c r="U30" s="12"/>
      <c r="V30" s="12"/>
      <c r="W30" s="12"/>
      <c r="X30" s="12"/>
      <c r="Y30" s="12"/>
      <c r="Z30" s="12"/>
      <c r="AA30" s="12"/>
      <c r="AB30" s="12"/>
      <c r="AC30" s="12"/>
      <c r="AD30" s="12"/>
    </row>
    <row r="31" spans="1:30" x14ac:dyDescent="0.3">
      <c r="A31" s="12"/>
      <c r="B31" s="12"/>
      <c r="C31" s="12"/>
      <c r="D31" s="12"/>
      <c r="E31" s="12"/>
      <c r="F31" s="12"/>
      <c r="G31" s="12"/>
      <c r="H31" s="12"/>
      <c r="I31" s="12"/>
      <c r="J31" s="12"/>
      <c r="K31" s="12"/>
      <c r="L31" s="12"/>
      <c r="M31" s="12"/>
      <c r="N31" s="12"/>
      <c r="O31" s="12"/>
      <c r="P31" s="12"/>
      <c r="Q31" s="12"/>
      <c r="R31" s="12"/>
      <c r="S31" s="12"/>
      <c r="T31" s="12"/>
      <c r="U31" s="12"/>
      <c r="V31" s="12"/>
      <c r="W31" s="12"/>
      <c r="X31" s="12"/>
      <c r="Y31" s="12"/>
      <c r="Z31" s="12"/>
      <c r="AA31" s="12"/>
      <c r="AB31" s="12"/>
      <c r="AC31" s="12"/>
      <c r="AD31" s="12"/>
    </row>
    <row r="32" spans="1:30" x14ac:dyDescent="0.3">
      <c r="A32" s="12"/>
      <c r="B32" s="12"/>
      <c r="C32" s="12"/>
      <c r="D32" s="12"/>
      <c r="E32" s="12"/>
      <c r="F32" s="12"/>
      <c r="G32" s="12"/>
      <c r="H32" s="12"/>
      <c r="I32" s="12"/>
      <c r="J32" s="12"/>
      <c r="K32" s="12"/>
      <c r="L32" s="12"/>
      <c r="M32" s="12"/>
      <c r="N32" s="12"/>
      <c r="O32" s="12"/>
      <c r="P32" s="12"/>
      <c r="Q32" s="12"/>
      <c r="R32" s="12"/>
      <c r="S32" s="12"/>
      <c r="T32" s="12"/>
      <c r="U32" s="12"/>
      <c r="V32" s="12"/>
      <c r="W32" s="12"/>
      <c r="X32" s="12"/>
      <c r="Y32" s="12"/>
      <c r="Z32" s="12"/>
      <c r="AA32" s="12"/>
      <c r="AB32" s="12"/>
      <c r="AC32" s="12"/>
      <c r="AD32" s="12"/>
    </row>
    <row r="33" spans="1:30" x14ac:dyDescent="0.3">
      <c r="A33" s="12"/>
      <c r="B33" s="12"/>
      <c r="C33" s="12"/>
      <c r="D33" s="12"/>
      <c r="E33" s="12"/>
      <c r="F33" s="12"/>
      <c r="G33" s="12"/>
      <c r="H33" s="12"/>
      <c r="I33" s="12"/>
      <c r="J33" s="12"/>
      <c r="K33" s="12"/>
      <c r="L33" s="12"/>
      <c r="M33" s="12"/>
      <c r="N33" s="12"/>
      <c r="O33" s="12"/>
      <c r="P33" s="12"/>
      <c r="Q33" s="12"/>
      <c r="R33" s="12"/>
      <c r="S33" s="12"/>
      <c r="T33" s="12"/>
      <c r="U33" s="12"/>
      <c r="V33" s="12"/>
      <c r="W33" s="12"/>
      <c r="X33" s="12"/>
      <c r="Y33" s="12"/>
      <c r="Z33" s="12"/>
      <c r="AA33" s="12"/>
      <c r="AB33" s="12"/>
      <c r="AC33" s="12"/>
      <c r="AD33" s="12"/>
    </row>
    <row r="34" spans="1:30" x14ac:dyDescent="0.3">
      <c r="A34" s="12"/>
      <c r="B34" s="12"/>
      <c r="C34" s="12"/>
      <c r="D34" s="12"/>
      <c r="E34" s="12"/>
      <c r="F34" s="12"/>
      <c r="G34" s="12"/>
      <c r="H34" s="12"/>
      <c r="I34" s="12"/>
      <c r="J34" s="12"/>
      <c r="K34" s="12"/>
      <c r="L34" s="12"/>
      <c r="M34" s="12"/>
      <c r="N34" s="12"/>
      <c r="O34" s="12"/>
      <c r="P34" s="12"/>
      <c r="Q34" s="12"/>
      <c r="R34" s="12"/>
      <c r="S34" s="12"/>
      <c r="T34" s="12"/>
      <c r="U34" s="12"/>
      <c r="V34" s="12"/>
      <c r="W34" s="12"/>
      <c r="X34" s="12"/>
      <c r="Y34" s="12"/>
      <c r="Z34" s="12"/>
      <c r="AA34" s="12"/>
      <c r="AB34" s="12"/>
      <c r="AC34" s="12"/>
      <c r="AD34" s="12"/>
    </row>
    <row r="35" spans="1:30" x14ac:dyDescent="0.3">
      <c r="A35" s="12"/>
      <c r="B35" s="12"/>
      <c r="C35" s="12"/>
      <c r="D35" s="12"/>
      <c r="E35" s="12"/>
      <c r="F35" s="12"/>
      <c r="G35" s="12"/>
      <c r="H35" s="12"/>
      <c r="I35" s="12"/>
      <c r="J35" s="12"/>
      <c r="K35" s="12"/>
      <c r="L35" s="12"/>
      <c r="M35" s="12"/>
      <c r="N35" s="12"/>
      <c r="O35" s="12"/>
      <c r="P35" s="12"/>
      <c r="Q35" s="12"/>
      <c r="R35" s="12"/>
      <c r="S35" s="12"/>
      <c r="T35" s="12"/>
      <c r="U35" s="12"/>
      <c r="V35" s="12"/>
      <c r="W35" s="12"/>
      <c r="X35" s="12"/>
      <c r="Y35" s="12"/>
      <c r="Z35" s="12"/>
      <c r="AA35" s="12"/>
      <c r="AB35" s="12"/>
      <c r="AC35" s="12"/>
      <c r="AD35" s="12"/>
    </row>
    <row r="36" spans="1:30" x14ac:dyDescent="0.3">
      <c r="A36" s="12"/>
      <c r="B36" s="12"/>
      <c r="C36" s="12"/>
      <c r="D36" s="12"/>
      <c r="E36" s="12"/>
      <c r="F36" s="12"/>
      <c r="G36" s="12"/>
      <c r="H36" s="12"/>
      <c r="I36" s="12"/>
      <c r="J36" s="12"/>
      <c r="K36" s="12"/>
      <c r="L36" s="12"/>
      <c r="M36" s="12"/>
      <c r="N36" s="12"/>
      <c r="O36" s="12"/>
      <c r="P36" s="12"/>
      <c r="Q36" s="12"/>
      <c r="R36" s="12"/>
      <c r="S36" s="12"/>
      <c r="T36" s="12"/>
      <c r="U36" s="12"/>
      <c r="V36" s="12"/>
      <c r="W36" s="12"/>
      <c r="X36" s="12"/>
      <c r="Y36" s="12"/>
      <c r="Z36" s="12"/>
      <c r="AA36" s="12"/>
      <c r="AB36" s="12"/>
      <c r="AC36" s="12"/>
      <c r="AD36" s="12"/>
    </row>
    <row r="37" spans="1:30" x14ac:dyDescent="0.3">
      <c r="A37" s="12"/>
      <c r="B37" s="12"/>
      <c r="C37" s="12"/>
      <c r="D37" s="12"/>
      <c r="E37" s="12"/>
      <c r="F37" s="12"/>
      <c r="G37" s="12"/>
      <c r="H37" s="12"/>
      <c r="I37" s="12"/>
      <c r="J37" s="12"/>
      <c r="K37" s="12"/>
      <c r="L37" s="12"/>
      <c r="M37" s="12"/>
      <c r="N37" s="12"/>
      <c r="O37" s="12"/>
      <c r="P37" s="12"/>
      <c r="Q37" s="12"/>
      <c r="R37" s="12"/>
      <c r="S37" s="12"/>
      <c r="T37" s="12"/>
      <c r="U37" s="12"/>
      <c r="V37" s="12"/>
      <c r="W37" s="12"/>
      <c r="X37" s="12"/>
      <c r="Y37" s="12"/>
      <c r="Z37" s="12"/>
      <c r="AA37" s="12"/>
      <c r="AB37" s="12"/>
      <c r="AC37" s="12"/>
      <c r="AD37" s="12"/>
    </row>
    <row r="38" spans="1:30" x14ac:dyDescent="0.3">
      <c r="A38" s="12"/>
      <c r="B38" s="12"/>
      <c r="C38" s="12"/>
      <c r="D38" s="12"/>
      <c r="E38" s="12"/>
      <c r="F38" s="12"/>
      <c r="G38" s="12"/>
      <c r="H38" s="12"/>
      <c r="I38" s="12"/>
      <c r="J38" s="12"/>
      <c r="K38" s="12"/>
      <c r="L38" s="12"/>
      <c r="M38" s="12"/>
      <c r="N38" s="12"/>
      <c r="O38" s="12"/>
      <c r="P38" s="12"/>
      <c r="Q38" s="12"/>
      <c r="R38" s="12"/>
      <c r="S38" s="12"/>
      <c r="T38" s="12"/>
      <c r="U38" s="12"/>
      <c r="V38" s="12"/>
      <c r="W38" s="12"/>
      <c r="X38" s="12"/>
      <c r="Y38" s="12"/>
      <c r="Z38" s="12"/>
      <c r="AA38" s="12"/>
      <c r="AB38" s="12"/>
      <c r="AC38" s="12"/>
      <c r="AD38" s="12"/>
    </row>
    <row r="39" spans="1:30" x14ac:dyDescent="0.3">
      <c r="A39" s="12"/>
      <c r="B39" s="12"/>
      <c r="C39" s="12"/>
      <c r="D39" s="12"/>
      <c r="E39" s="12"/>
      <c r="F39" s="12"/>
      <c r="G39" s="12"/>
      <c r="H39" s="12"/>
      <c r="I39" s="12"/>
      <c r="J39" s="12"/>
      <c r="K39" s="12"/>
      <c r="L39" s="12"/>
      <c r="M39" s="12"/>
      <c r="N39" s="12"/>
      <c r="O39" s="12"/>
      <c r="P39" s="12"/>
      <c r="Q39" s="12"/>
      <c r="R39" s="12"/>
      <c r="S39" s="12"/>
      <c r="T39" s="12"/>
      <c r="U39" s="12"/>
      <c r="V39" s="12"/>
      <c r="W39" s="12"/>
      <c r="X39" s="12"/>
      <c r="Y39" s="12"/>
      <c r="Z39" s="12"/>
      <c r="AA39" s="12"/>
      <c r="AB39" s="12"/>
      <c r="AC39" s="12"/>
      <c r="AD39" s="12"/>
    </row>
    <row r="40" spans="1:30" x14ac:dyDescent="0.3">
      <c r="A40" s="12"/>
      <c r="B40" s="12"/>
      <c r="C40" s="12"/>
      <c r="D40" s="12"/>
      <c r="E40" s="12"/>
      <c r="F40" s="12"/>
      <c r="G40" s="12"/>
      <c r="H40" s="12"/>
      <c r="I40" s="12"/>
      <c r="J40" s="12"/>
      <c r="K40" s="12"/>
      <c r="L40" s="12"/>
      <c r="M40" s="12"/>
      <c r="N40" s="12"/>
      <c r="O40" s="12"/>
      <c r="P40" s="12"/>
      <c r="Q40" s="12"/>
      <c r="R40" s="12"/>
      <c r="S40" s="12"/>
      <c r="T40" s="12"/>
      <c r="U40" s="12"/>
      <c r="V40" s="12"/>
      <c r="W40" s="12"/>
      <c r="X40" s="12"/>
      <c r="Y40" s="12"/>
      <c r="Z40" s="12"/>
      <c r="AA40" s="12"/>
      <c r="AB40" s="12"/>
      <c r="AC40" s="12"/>
      <c r="AD40" s="12"/>
    </row>
    <row r="41" spans="1:30" x14ac:dyDescent="0.3">
      <c r="A41" s="12"/>
      <c r="B41" s="12"/>
      <c r="C41" s="12"/>
      <c r="D41" s="12"/>
      <c r="E41" s="12"/>
      <c r="F41" s="12"/>
      <c r="G41" s="12"/>
      <c r="H41" s="12"/>
      <c r="I41" s="12"/>
      <c r="J41" s="12"/>
      <c r="K41" s="12"/>
      <c r="L41" s="12"/>
      <c r="M41" s="12"/>
      <c r="N41" s="12"/>
      <c r="O41" s="12"/>
      <c r="P41" s="12"/>
      <c r="Q41" s="12"/>
      <c r="R41" s="12"/>
      <c r="S41" s="12"/>
      <c r="T41" s="12"/>
      <c r="U41" s="12"/>
      <c r="V41" s="12"/>
      <c r="W41" s="12"/>
      <c r="X41" s="12"/>
      <c r="Y41" s="12"/>
      <c r="Z41" s="12"/>
      <c r="AA41" s="12"/>
      <c r="AB41" s="12"/>
      <c r="AC41" s="12"/>
      <c r="AD41" s="12"/>
    </row>
    <row r="42" spans="1:30" x14ac:dyDescent="0.3">
      <c r="A42" s="12"/>
      <c r="B42" s="12"/>
      <c r="C42" s="12"/>
      <c r="D42" s="12"/>
      <c r="E42" s="12"/>
      <c r="F42" s="12"/>
      <c r="G42" s="12"/>
      <c r="H42" s="12"/>
      <c r="I42" s="12"/>
      <c r="J42" s="12"/>
      <c r="K42" s="12"/>
      <c r="L42" s="12"/>
      <c r="M42" s="12"/>
      <c r="N42" s="12"/>
      <c r="O42" s="12"/>
      <c r="P42" s="12"/>
      <c r="Q42" s="12"/>
      <c r="R42" s="12"/>
      <c r="S42" s="12"/>
      <c r="T42" s="12"/>
      <c r="U42" s="12"/>
      <c r="V42" s="12"/>
      <c r="W42" s="12"/>
      <c r="X42" s="12"/>
      <c r="Y42" s="12"/>
      <c r="Z42" s="12"/>
      <c r="AA42" s="12"/>
      <c r="AB42" s="12"/>
      <c r="AC42" s="12"/>
      <c r="AD42" s="12"/>
    </row>
    <row r="43" spans="1:30" x14ac:dyDescent="0.3">
      <c r="A43" s="12"/>
      <c r="B43" s="12"/>
      <c r="C43" s="12"/>
      <c r="D43" s="12"/>
      <c r="E43" s="12"/>
      <c r="F43" s="12"/>
      <c r="G43" s="12"/>
      <c r="H43" s="12"/>
      <c r="I43" s="12"/>
      <c r="J43" s="12"/>
      <c r="K43" s="12"/>
      <c r="L43" s="12"/>
      <c r="M43" s="12"/>
      <c r="N43" s="12"/>
      <c r="O43" s="12"/>
      <c r="P43" s="12"/>
      <c r="Q43" s="12"/>
      <c r="R43" s="12"/>
      <c r="S43" s="12"/>
      <c r="T43" s="12"/>
      <c r="U43" s="12"/>
      <c r="V43" s="12"/>
      <c r="W43" s="12"/>
      <c r="X43" s="12"/>
      <c r="Y43" s="12"/>
      <c r="Z43" s="12"/>
      <c r="AA43" s="12"/>
      <c r="AB43" s="12"/>
      <c r="AC43" s="12"/>
      <c r="AD43" s="12"/>
    </row>
    <row r="44" spans="1:30" x14ac:dyDescent="0.3">
      <c r="A44" s="12"/>
      <c r="B44" s="12"/>
      <c r="C44" s="12"/>
      <c r="D44" s="12"/>
      <c r="E44" s="12"/>
      <c r="F44" s="12"/>
      <c r="G44" s="12"/>
      <c r="H44" s="12"/>
      <c r="I44" s="12"/>
      <c r="J44" s="12"/>
      <c r="K44" s="12"/>
      <c r="L44" s="12"/>
      <c r="M44" s="12"/>
      <c r="N44" s="12"/>
      <c r="O44" s="12"/>
      <c r="P44" s="12"/>
      <c r="Q44" s="12"/>
      <c r="R44" s="12"/>
      <c r="S44" s="12"/>
      <c r="T44" s="12"/>
      <c r="U44" s="12"/>
      <c r="V44" s="12"/>
      <c r="W44" s="12"/>
      <c r="X44" s="12"/>
      <c r="Y44" s="12"/>
      <c r="Z44" s="12"/>
      <c r="AA44" s="12"/>
      <c r="AB44" s="12"/>
      <c r="AC44" s="12"/>
      <c r="AD44" s="12"/>
    </row>
    <row r="45" spans="1:30" x14ac:dyDescent="0.3">
      <c r="A45" s="12"/>
      <c r="B45" s="12"/>
      <c r="C45" s="12"/>
      <c r="D45" s="12"/>
      <c r="E45" s="12"/>
      <c r="F45" s="12"/>
      <c r="G45" s="12"/>
      <c r="H45" s="12"/>
      <c r="I45" s="12"/>
      <c r="J45" s="12"/>
      <c r="K45" s="12"/>
      <c r="L45" s="12"/>
      <c r="M45" s="12"/>
      <c r="N45" s="12"/>
      <c r="O45" s="12"/>
      <c r="P45" s="12"/>
      <c r="Q45" s="12"/>
      <c r="R45" s="12"/>
      <c r="S45" s="12"/>
      <c r="T45" s="12"/>
      <c r="U45" s="12"/>
      <c r="V45" s="12"/>
      <c r="W45" s="12"/>
      <c r="X45" s="12"/>
      <c r="Y45" s="12"/>
      <c r="Z45" s="12"/>
      <c r="AA45" s="12"/>
      <c r="AB45" s="12"/>
      <c r="AC45" s="12"/>
      <c r="AD45" s="12"/>
    </row>
    <row r="46" spans="1:30" x14ac:dyDescent="0.3">
      <c r="A46" s="12"/>
      <c r="B46" s="12"/>
      <c r="C46" s="12"/>
      <c r="D46" s="12"/>
      <c r="E46" s="12"/>
      <c r="F46" s="12"/>
      <c r="G46" s="12"/>
      <c r="H46" s="12"/>
      <c r="I46" s="12"/>
      <c r="J46" s="12"/>
      <c r="K46" s="12"/>
      <c r="L46" s="12"/>
      <c r="M46" s="12"/>
      <c r="N46" s="12"/>
      <c r="O46" s="12"/>
      <c r="P46" s="12"/>
      <c r="Q46" s="12"/>
      <c r="R46" s="12"/>
      <c r="S46" s="12"/>
      <c r="T46" s="12"/>
      <c r="U46" s="12"/>
      <c r="V46" s="12"/>
      <c r="W46" s="12"/>
      <c r="X46" s="12"/>
      <c r="Y46" s="12"/>
      <c r="Z46" s="12"/>
      <c r="AA46" s="12"/>
      <c r="AB46" s="12"/>
      <c r="AC46" s="12"/>
      <c r="AD46" s="12"/>
    </row>
    <row r="47" spans="1:30" x14ac:dyDescent="0.3">
      <c r="A47" s="12"/>
      <c r="B47" s="12"/>
      <c r="C47" s="12"/>
      <c r="D47" s="12"/>
      <c r="E47" s="12"/>
      <c r="F47" s="12"/>
      <c r="G47" s="12"/>
      <c r="H47" s="12"/>
      <c r="I47" s="12"/>
      <c r="J47" s="12"/>
      <c r="K47" s="12"/>
      <c r="L47" s="12"/>
      <c r="M47" s="12"/>
      <c r="N47" s="12"/>
      <c r="O47" s="12"/>
      <c r="P47" s="12"/>
      <c r="Q47" s="12"/>
      <c r="R47" s="12"/>
      <c r="S47" s="12"/>
      <c r="T47" s="12"/>
      <c r="U47" s="12"/>
      <c r="V47" s="12"/>
      <c r="W47" s="12"/>
      <c r="X47" s="12"/>
      <c r="Y47" s="12"/>
      <c r="Z47" s="12"/>
      <c r="AA47" s="12"/>
      <c r="AB47" s="12"/>
      <c r="AC47" s="12"/>
      <c r="AD47" s="12"/>
    </row>
    <row r="48" spans="1:30" x14ac:dyDescent="0.3">
      <c r="A48" s="12"/>
      <c r="B48" s="12"/>
      <c r="C48" s="12"/>
      <c r="D48" s="12"/>
      <c r="E48" s="12"/>
      <c r="F48" s="12"/>
      <c r="G48" s="12"/>
      <c r="H48" s="12"/>
      <c r="I48" s="12"/>
      <c r="J48" s="12"/>
      <c r="K48" s="12"/>
      <c r="L48" s="12"/>
      <c r="M48" s="12"/>
      <c r="N48" s="12"/>
      <c r="O48" s="12"/>
      <c r="P48" s="12"/>
      <c r="Q48" s="12"/>
      <c r="R48" s="12"/>
      <c r="S48" s="12"/>
      <c r="T48" s="12"/>
      <c r="U48" s="12"/>
      <c r="V48" s="12"/>
      <c r="W48" s="12"/>
      <c r="X48" s="12"/>
      <c r="Y48" s="12"/>
      <c r="Z48" s="12"/>
      <c r="AA48" s="12"/>
      <c r="AB48" s="12"/>
      <c r="AC48" s="12"/>
      <c r="AD48" s="12"/>
    </row>
    <row r="49" spans="1:30" x14ac:dyDescent="0.3">
      <c r="A49" s="12"/>
      <c r="B49" s="12"/>
      <c r="C49" s="12"/>
      <c r="D49" s="12"/>
      <c r="E49" s="12"/>
      <c r="F49" s="12"/>
      <c r="G49" s="12"/>
      <c r="H49" s="12"/>
      <c r="I49" s="12"/>
      <c r="J49" s="12"/>
      <c r="K49" s="12"/>
      <c r="L49" s="12"/>
      <c r="M49" s="12"/>
      <c r="N49" s="12"/>
      <c r="O49" s="12"/>
      <c r="P49" s="12"/>
      <c r="Q49" s="12"/>
      <c r="R49" s="12"/>
      <c r="S49" s="12"/>
      <c r="T49" s="12"/>
      <c r="U49" s="12"/>
      <c r="V49" s="12"/>
      <c r="W49" s="12"/>
      <c r="X49" s="12"/>
      <c r="Y49" s="12"/>
      <c r="Z49" s="12"/>
      <c r="AA49" s="12"/>
      <c r="AB49" s="12"/>
      <c r="AC49" s="12"/>
      <c r="AD49" s="12"/>
    </row>
    <row r="50" spans="1:30" x14ac:dyDescent="0.3">
      <c r="A50" s="12"/>
      <c r="B50" s="12"/>
      <c r="C50" s="12"/>
      <c r="D50" s="12"/>
      <c r="E50" s="12"/>
      <c r="F50" s="12"/>
      <c r="G50" s="12"/>
      <c r="H50" s="12"/>
      <c r="I50" s="12"/>
      <c r="J50" s="12"/>
      <c r="K50" s="12"/>
      <c r="L50" s="12"/>
      <c r="M50" s="12"/>
      <c r="N50" s="12"/>
      <c r="O50" s="12"/>
      <c r="P50" s="12"/>
      <c r="Q50" s="12"/>
      <c r="R50" s="12"/>
      <c r="S50" s="12"/>
      <c r="T50" s="12"/>
      <c r="U50" s="12"/>
      <c r="V50" s="12"/>
      <c r="W50" s="12"/>
      <c r="X50" s="12"/>
      <c r="Y50" s="12"/>
      <c r="Z50" s="12"/>
      <c r="AA50" s="12"/>
      <c r="AB50" s="12"/>
      <c r="AC50" s="12"/>
      <c r="AD50" s="12"/>
    </row>
    <row r="51" spans="1:30" x14ac:dyDescent="0.3">
      <c r="A51" s="12"/>
      <c r="B51" s="12"/>
      <c r="C51" s="12"/>
      <c r="D51" s="12"/>
      <c r="E51" s="12"/>
      <c r="F51" s="12"/>
      <c r="G51" s="12"/>
      <c r="H51" s="12"/>
      <c r="I51" s="12"/>
      <c r="J51" s="12"/>
      <c r="K51" s="12"/>
      <c r="L51" s="12"/>
      <c r="M51" s="12"/>
      <c r="N51" s="12"/>
      <c r="O51" s="12"/>
      <c r="P51" s="12"/>
      <c r="Q51" s="12"/>
      <c r="R51" s="12"/>
      <c r="S51" s="12"/>
      <c r="T51" s="12"/>
      <c r="U51" s="12"/>
      <c r="V51" s="12"/>
      <c r="W51" s="12"/>
      <c r="X51" s="12"/>
      <c r="Y51" s="12"/>
      <c r="Z51" s="12"/>
      <c r="AA51" s="12"/>
      <c r="AB51" s="12"/>
      <c r="AC51" s="12"/>
      <c r="AD51" s="12"/>
    </row>
    <row r="52" spans="1:30" x14ac:dyDescent="0.3">
      <c r="A52" s="12"/>
      <c r="B52" s="12"/>
      <c r="C52" s="12"/>
      <c r="D52" s="12"/>
      <c r="E52" s="12"/>
      <c r="F52" s="12"/>
      <c r="G52" s="12"/>
      <c r="H52" s="12"/>
      <c r="I52" s="12"/>
      <c r="J52" s="12"/>
      <c r="K52" s="12"/>
      <c r="L52" s="12"/>
      <c r="M52" s="12"/>
      <c r="N52" s="12"/>
      <c r="O52" s="12"/>
      <c r="P52" s="12"/>
      <c r="Q52" s="12"/>
      <c r="R52" s="12"/>
      <c r="S52" s="12"/>
      <c r="T52" s="12"/>
      <c r="U52" s="12"/>
      <c r="V52" s="12"/>
      <c r="W52" s="12"/>
      <c r="X52" s="12"/>
      <c r="Y52" s="12"/>
      <c r="Z52" s="12"/>
      <c r="AA52" s="12"/>
      <c r="AB52" s="12"/>
      <c r="AC52" s="12"/>
      <c r="AD52" s="12"/>
    </row>
    <row r="53" spans="1:30" x14ac:dyDescent="0.3">
      <c r="A53" s="12"/>
      <c r="B53" s="12"/>
      <c r="C53" s="12"/>
      <c r="D53" s="12"/>
      <c r="E53" s="12"/>
      <c r="F53" s="12"/>
      <c r="G53" s="12"/>
      <c r="H53" s="12"/>
      <c r="I53" s="12"/>
      <c r="J53" s="12"/>
      <c r="K53" s="12"/>
      <c r="L53" s="12"/>
      <c r="M53" s="12"/>
      <c r="N53" s="12"/>
      <c r="O53" s="12"/>
      <c r="P53" s="12"/>
      <c r="Q53" s="12"/>
      <c r="R53" s="12"/>
      <c r="S53" s="12"/>
      <c r="T53" s="12"/>
      <c r="U53" s="12"/>
      <c r="V53" s="12"/>
      <c r="W53" s="12"/>
      <c r="X53" s="12"/>
      <c r="Y53" s="12"/>
      <c r="Z53" s="12"/>
      <c r="AA53" s="12"/>
      <c r="AB53" s="12"/>
      <c r="AC53" s="12"/>
      <c r="AD53" s="12"/>
    </row>
    <row r="54" spans="1:30" x14ac:dyDescent="0.3">
      <c r="A54" s="12"/>
      <c r="B54" s="12"/>
      <c r="C54" s="12"/>
      <c r="D54" s="12"/>
      <c r="E54" s="12"/>
      <c r="F54" s="12"/>
      <c r="G54" s="12"/>
      <c r="H54" s="12"/>
      <c r="I54" s="12"/>
      <c r="J54" s="12"/>
      <c r="K54" s="12"/>
      <c r="L54" s="12"/>
      <c r="M54" s="12"/>
      <c r="N54" s="12"/>
      <c r="O54" s="12"/>
      <c r="P54" s="12"/>
      <c r="Q54" s="12"/>
      <c r="R54" s="12"/>
      <c r="S54" s="12"/>
      <c r="T54" s="12"/>
      <c r="U54" s="12"/>
      <c r="V54" s="12"/>
      <c r="W54" s="12"/>
      <c r="X54" s="12"/>
      <c r="Y54" s="12"/>
      <c r="Z54" s="12"/>
      <c r="AA54" s="12"/>
      <c r="AB54" s="12"/>
      <c r="AC54" s="12"/>
      <c r="AD54" s="12"/>
    </row>
    <row r="55" spans="1:30" x14ac:dyDescent="0.3">
      <c r="A55" s="12"/>
      <c r="B55" s="12"/>
      <c r="C55" s="12"/>
      <c r="D55" s="12"/>
      <c r="E55" s="12"/>
      <c r="F55" s="12"/>
      <c r="G55" s="12"/>
      <c r="H55" s="12"/>
      <c r="I55" s="12"/>
      <c r="J55" s="12"/>
      <c r="K55" s="12"/>
      <c r="L55" s="12"/>
      <c r="M55" s="12"/>
      <c r="N55" s="12"/>
      <c r="O55" s="12"/>
      <c r="P55" s="12"/>
      <c r="Q55" s="12"/>
      <c r="R55" s="12"/>
      <c r="S55" s="12"/>
      <c r="T55" s="12"/>
      <c r="U55" s="12"/>
      <c r="V55" s="12"/>
      <c r="W55" s="12"/>
      <c r="X55" s="12"/>
      <c r="Y55" s="12"/>
      <c r="Z55" s="12"/>
      <c r="AA55" s="12"/>
      <c r="AB55" s="12"/>
      <c r="AC55" s="12"/>
      <c r="AD55" s="12"/>
    </row>
    <row r="56" spans="1:30" x14ac:dyDescent="0.3">
      <c r="A56" s="12"/>
      <c r="B56" s="12"/>
      <c r="C56" s="12"/>
      <c r="D56" s="12"/>
      <c r="E56" s="12"/>
      <c r="F56" s="12"/>
      <c r="G56" s="12"/>
      <c r="H56" s="12"/>
      <c r="I56" s="12"/>
      <c r="J56" s="12"/>
      <c r="K56" s="12"/>
      <c r="L56" s="12"/>
      <c r="M56" s="12"/>
      <c r="N56" s="12"/>
      <c r="O56" s="12"/>
      <c r="P56" s="12"/>
      <c r="Q56" s="12"/>
      <c r="R56" s="12"/>
      <c r="S56" s="12"/>
      <c r="T56" s="12"/>
      <c r="U56" s="12"/>
      <c r="V56" s="12"/>
      <c r="W56" s="12"/>
      <c r="X56" s="12"/>
      <c r="Y56" s="12"/>
      <c r="Z56" s="12"/>
      <c r="AA56" s="12"/>
      <c r="AB56" s="12"/>
      <c r="AC56" s="12"/>
      <c r="AD56" s="12"/>
    </row>
    <row r="57" spans="1:30" x14ac:dyDescent="0.3">
      <c r="A57" s="12"/>
      <c r="B57" s="12"/>
      <c r="C57" s="12"/>
      <c r="D57" s="12"/>
      <c r="E57" s="12"/>
      <c r="F57" s="12"/>
      <c r="G57" s="12"/>
      <c r="H57" s="12"/>
      <c r="I57" s="12"/>
      <c r="J57" s="12"/>
      <c r="K57" s="12"/>
      <c r="L57" s="12"/>
      <c r="M57" s="12"/>
      <c r="N57" s="12"/>
      <c r="O57" s="12"/>
      <c r="P57" s="12"/>
      <c r="Q57" s="12"/>
      <c r="R57" s="12"/>
      <c r="S57" s="12"/>
      <c r="T57" s="12"/>
      <c r="U57" s="12"/>
      <c r="V57" s="12"/>
      <c r="W57" s="12"/>
      <c r="X57" s="12"/>
      <c r="Y57" s="12"/>
      <c r="Z57" s="12"/>
      <c r="AA57" s="12"/>
      <c r="AB57" s="12"/>
      <c r="AC57" s="12"/>
      <c r="AD57" s="12"/>
    </row>
    <row r="58" spans="1:30" x14ac:dyDescent="0.3">
      <c r="A58" s="12"/>
      <c r="B58" s="12"/>
      <c r="C58" s="12"/>
      <c r="D58" s="12"/>
      <c r="E58" s="12"/>
      <c r="F58" s="12"/>
      <c r="G58" s="12"/>
      <c r="H58" s="12"/>
      <c r="I58" s="12"/>
      <c r="J58" s="12"/>
      <c r="K58" s="12"/>
      <c r="L58" s="12"/>
      <c r="M58" s="12"/>
      <c r="N58" s="12"/>
      <c r="O58" s="12"/>
      <c r="P58" s="12"/>
      <c r="Q58" s="12"/>
      <c r="R58" s="12"/>
      <c r="S58" s="12"/>
      <c r="T58" s="12"/>
      <c r="U58" s="12"/>
      <c r="V58" s="12"/>
      <c r="W58" s="12"/>
      <c r="X58" s="12"/>
      <c r="Y58" s="12"/>
      <c r="Z58" s="12"/>
      <c r="AA58" s="12"/>
      <c r="AB58" s="12"/>
      <c r="AC58" s="12"/>
      <c r="AD58" s="12"/>
    </row>
    <row r="59" spans="1:30" x14ac:dyDescent="0.3">
      <c r="A59" s="12"/>
      <c r="B59" s="12"/>
      <c r="C59" s="12"/>
      <c r="D59" s="12"/>
      <c r="E59" s="12"/>
      <c r="F59" s="12"/>
      <c r="G59" s="12"/>
      <c r="H59" s="12"/>
      <c r="I59" s="12"/>
      <c r="J59" s="12"/>
      <c r="K59" s="12"/>
      <c r="L59" s="12"/>
      <c r="M59" s="12"/>
      <c r="N59" s="12"/>
      <c r="O59" s="12"/>
      <c r="P59" s="12"/>
      <c r="Q59" s="12"/>
      <c r="R59" s="12"/>
      <c r="S59" s="12"/>
      <c r="T59" s="12"/>
      <c r="U59" s="12"/>
      <c r="V59" s="12"/>
      <c r="W59" s="12"/>
      <c r="X59" s="12"/>
      <c r="Y59" s="12"/>
      <c r="Z59" s="12"/>
      <c r="AA59" s="12"/>
      <c r="AB59" s="12"/>
      <c r="AC59" s="12"/>
      <c r="AD59" s="12"/>
    </row>
    <row r="60" spans="1:30" x14ac:dyDescent="0.3">
      <c r="A60" s="12"/>
      <c r="B60" s="12"/>
      <c r="C60" s="12"/>
      <c r="D60" s="12"/>
      <c r="E60" s="12"/>
      <c r="F60" s="12"/>
      <c r="G60" s="12"/>
      <c r="H60" s="12"/>
      <c r="I60" s="12"/>
      <c r="J60" s="12"/>
      <c r="K60" s="12"/>
      <c r="L60" s="12"/>
      <c r="M60" s="12"/>
      <c r="N60" s="12"/>
      <c r="O60" s="12"/>
      <c r="P60" s="12"/>
      <c r="Q60" s="12"/>
      <c r="R60" s="12"/>
      <c r="S60" s="12"/>
      <c r="T60" s="12"/>
      <c r="U60" s="12"/>
      <c r="V60" s="12"/>
      <c r="W60" s="12"/>
      <c r="X60" s="12"/>
      <c r="Y60" s="12"/>
      <c r="Z60" s="12"/>
      <c r="AA60" s="12"/>
      <c r="AB60" s="12"/>
      <c r="AC60" s="12"/>
      <c r="AD60" s="12"/>
    </row>
    <row r="61" spans="1:30" x14ac:dyDescent="0.3">
      <c r="A61" s="12"/>
      <c r="B61" s="12"/>
      <c r="C61" s="12"/>
      <c r="D61" s="12"/>
      <c r="E61" s="12"/>
      <c r="F61" s="12"/>
      <c r="G61" s="12"/>
      <c r="H61" s="12"/>
      <c r="I61" s="12"/>
      <c r="J61" s="12"/>
      <c r="K61" s="12"/>
      <c r="L61" s="12"/>
      <c r="M61" s="12"/>
      <c r="N61" s="12"/>
      <c r="O61" s="12"/>
      <c r="P61" s="12"/>
      <c r="Q61" s="12"/>
      <c r="R61" s="12"/>
      <c r="S61" s="12"/>
      <c r="T61" s="12"/>
      <c r="U61" s="12"/>
      <c r="V61" s="12"/>
      <c r="W61" s="12"/>
      <c r="X61" s="12"/>
      <c r="Y61" s="12"/>
      <c r="Z61" s="12"/>
      <c r="AA61" s="12"/>
      <c r="AB61" s="12"/>
      <c r="AC61" s="12"/>
      <c r="AD61" s="12"/>
    </row>
    <row r="62" spans="1:30" x14ac:dyDescent="0.3">
      <c r="A62" s="12"/>
      <c r="B62" s="12"/>
      <c r="C62" s="12"/>
      <c r="D62" s="12"/>
      <c r="E62" s="12"/>
      <c r="F62" s="12"/>
      <c r="G62" s="12"/>
      <c r="H62" s="12"/>
      <c r="I62" s="12"/>
      <c r="J62" s="12"/>
      <c r="K62" s="12"/>
      <c r="L62" s="12"/>
      <c r="M62" s="12"/>
      <c r="N62" s="12"/>
      <c r="O62" s="12"/>
      <c r="P62" s="12"/>
      <c r="Q62" s="12"/>
      <c r="R62" s="12"/>
      <c r="S62" s="12"/>
      <c r="T62" s="12"/>
      <c r="U62" s="12"/>
      <c r="V62" s="12"/>
      <c r="W62" s="12"/>
      <c r="X62" s="12"/>
      <c r="Y62" s="12"/>
      <c r="Z62" s="12"/>
      <c r="AA62" s="12"/>
      <c r="AB62" s="12"/>
      <c r="AC62" s="12"/>
      <c r="AD62" s="12"/>
    </row>
    <row r="63" spans="1:30" x14ac:dyDescent="0.3">
      <c r="A63" s="12"/>
      <c r="B63" s="12"/>
      <c r="C63" s="12"/>
      <c r="D63" s="12"/>
      <c r="E63" s="12"/>
      <c r="F63" s="12"/>
      <c r="G63" s="12"/>
      <c r="H63" s="12"/>
      <c r="I63" s="12"/>
      <c r="J63" s="12"/>
      <c r="K63" s="12"/>
      <c r="L63" s="12"/>
      <c r="M63" s="12"/>
      <c r="N63" s="12"/>
      <c r="O63" s="12"/>
      <c r="P63" s="12"/>
      <c r="Q63" s="12"/>
      <c r="R63" s="12"/>
      <c r="S63" s="12"/>
      <c r="T63" s="12"/>
      <c r="U63" s="12"/>
      <c r="V63" s="12"/>
      <c r="W63" s="12"/>
      <c r="X63" s="12"/>
      <c r="Y63" s="12"/>
      <c r="Z63" s="12"/>
      <c r="AA63" s="12"/>
      <c r="AB63" s="12"/>
      <c r="AC63" s="12"/>
      <c r="AD63" s="12"/>
    </row>
    <row r="64" spans="1:30" x14ac:dyDescent="0.3">
      <c r="A64" s="12"/>
      <c r="B64" s="12"/>
      <c r="C64" s="12"/>
      <c r="D64" s="12"/>
      <c r="E64" s="12"/>
      <c r="F64" s="12"/>
      <c r="G64" s="12"/>
      <c r="H64" s="12"/>
      <c r="I64" s="12"/>
      <c r="J64" s="12"/>
      <c r="K64" s="12"/>
      <c r="L64" s="12"/>
      <c r="M64" s="12"/>
      <c r="N64" s="12"/>
      <c r="O64" s="12"/>
      <c r="P64" s="12"/>
      <c r="Q64" s="12"/>
      <c r="R64" s="12"/>
      <c r="S64" s="12"/>
      <c r="T64" s="12"/>
      <c r="U64" s="12"/>
      <c r="V64" s="12"/>
      <c r="W64" s="12"/>
      <c r="X64" s="12"/>
      <c r="Y64" s="12"/>
      <c r="Z64" s="12"/>
      <c r="AA64" s="12"/>
      <c r="AB64" s="12"/>
      <c r="AC64" s="12"/>
      <c r="AD64" s="12"/>
    </row>
    <row r="65" spans="1:30" x14ac:dyDescent="0.3">
      <c r="A65" s="12"/>
      <c r="B65" s="12"/>
      <c r="C65" s="12"/>
      <c r="D65" s="12"/>
      <c r="E65" s="12"/>
      <c r="F65" s="12"/>
      <c r="G65" s="12"/>
      <c r="H65" s="12"/>
      <c r="I65" s="12"/>
      <c r="J65" s="12"/>
      <c r="K65" s="12"/>
      <c r="L65" s="12"/>
      <c r="M65" s="12"/>
      <c r="N65" s="12"/>
      <c r="O65" s="12"/>
      <c r="P65" s="12"/>
      <c r="Q65" s="12"/>
      <c r="R65" s="12"/>
      <c r="S65" s="12"/>
      <c r="T65" s="12"/>
      <c r="U65" s="12"/>
      <c r="V65" s="12"/>
      <c r="W65" s="12"/>
      <c r="X65" s="12"/>
      <c r="Y65" s="12"/>
      <c r="Z65" s="12"/>
      <c r="AA65" s="12"/>
      <c r="AB65" s="12"/>
      <c r="AC65" s="12"/>
      <c r="AD65" s="12"/>
    </row>
    <row r="66" spans="1:30" x14ac:dyDescent="0.3">
      <c r="A66" s="12"/>
      <c r="B66" s="12"/>
      <c r="C66" s="12"/>
      <c r="D66" s="12"/>
      <c r="E66" s="12"/>
      <c r="F66" s="12"/>
      <c r="G66" s="12"/>
      <c r="H66" s="12"/>
      <c r="I66" s="12"/>
      <c r="J66" s="12"/>
      <c r="K66" s="12"/>
      <c r="L66" s="12"/>
      <c r="M66" s="12"/>
      <c r="N66" s="12"/>
      <c r="O66" s="12"/>
      <c r="P66" s="12"/>
      <c r="Q66" s="12"/>
      <c r="R66" s="12"/>
      <c r="S66" s="12"/>
      <c r="T66" s="12"/>
      <c r="U66" s="12"/>
      <c r="V66" s="12"/>
      <c r="W66" s="12"/>
      <c r="X66" s="12"/>
      <c r="Y66" s="12"/>
      <c r="Z66" s="12"/>
      <c r="AA66" s="12"/>
      <c r="AB66" s="12"/>
      <c r="AC66" s="12"/>
      <c r="AD66" s="12"/>
    </row>
    <row r="67" spans="1:30" x14ac:dyDescent="0.3">
      <c r="A67" s="12"/>
      <c r="B67" s="12"/>
      <c r="C67" s="12"/>
      <c r="D67" s="12"/>
      <c r="E67" s="12"/>
      <c r="F67" s="12"/>
      <c r="G67" s="12"/>
      <c r="H67" s="12"/>
      <c r="I67" s="12"/>
      <c r="J67" s="12"/>
      <c r="K67" s="12"/>
      <c r="L67" s="12"/>
      <c r="M67" s="12"/>
      <c r="N67" s="12"/>
      <c r="O67" s="12"/>
      <c r="P67" s="12"/>
      <c r="Q67" s="12"/>
      <c r="R67" s="12"/>
      <c r="S67" s="12"/>
      <c r="T67" s="12"/>
      <c r="U67" s="12"/>
      <c r="V67" s="12"/>
      <c r="W67" s="12"/>
      <c r="X67" s="12"/>
      <c r="Y67" s="12"/>
      <c r="Z67" s="12"/>
      <c r="AA67" s="12"/>
      <c r="AB67" s="12"/>
      <c r="AC67" s="12"/>
      <c r="AD67" s="12"/>
    </row>
    <row r="68" spans="1:30" x14ac:dyDescent="0.3">
      <c r="A68" s="12"/>
      <c r="B68" s="12"/>
      <c r="C68" s="12"/>
      <c r="D68" s="12"/>
      <c r="E68" s="12"/>
      <c r="F68" s="12"/>
      <c r="G68" s="12"/>
      <c r="H68" s="12"/>
      <c r="I68" s="12"/>
      <c r="J68" s="12"/>
      <c r="K68" s="12"/>
      <c r="L68" s="12"/>
      <c r="M68" s="12"/>
      <c r="N68" s="12"/>
      <c r="O68" s="12"/>
      <c r="P68" s="12"/>
      <c r="Q68" s="12"/>
      <c r="R68" s="12"/>
      <c r="S68" s="12"/>
      <c r="T68" s="12"/>
      <c r="U68" s="12"/>
      <c r="V68" s="12"/>
      <c r="W68" s="12"/>
      <c r="X68" s="12"/>
      <c r="Y68" s="12"/>
      <c r="Z68" s="12"/>
      <c r="AA68" s="12"/>
      <c r="AB68" s="12"/>
      <c r="AC68" s="12"/>
      <c r="AD68" s="12"/>
    </row>
    <row r="69" spans="1:30" x14ac:dyDescent="0.3">
      <c r="A69" s="12"/>
      <c r="B69" s="12"/>
      <c r="C69" s="12"/>
      <c r="D69" s="12"/>
      <c r="E69" s="12"/>
      <c r="F69" s="12"/>
      <c r="G69" s="12"/>
      <c r="H69" s="12"/>
      <c r="I69" s="12"/>
      <c r="J69" s="12"/>
      <c r="K69" s="12"/>
      <c r="L69" s="12"/>
      <c r="M69" s="12"/>
      <c r="N69" s="12"/>
      <c r="O69" s="12"/>
      <c r="P69" s="12"/>
      <c r="Q69" s="12"/>
      <c r="R69" s="12"/>
      <c r="S69" s="12"/>
      <c r="T69" s="12"/>
      <c r="U69" s="12"/>
      <c r="V69" s="12"/>
      <c r="W69" s="12"/>
      <c r="X69" s="12"/>
      <c r="Y69" s="12"/>
      <c r="Z69" s="12"/>
      <c r="AA69" s="12"/>
      <c r="AB69" s="12"/>
      <c r="AC69" s="12"/>
      <c r="AD69" s="12"/>
    </row>
    <row r="70" spans="1:30" x14ac:dyDescent="0.3">
      <c r="A70" s="12"/>
      <c r="B70" s="12"/>
      <c r="C70" s="12"/>
      <c r="D70" s="12"/>
      <c r="E70" s="12"/>
      <c r="F70" s="12"/>
      <c r="G70" s="12"/>
      <c r="H70" s="12"/>
      <c r="I70" s="12"/>
      <c r="J70" s="12"/>
      <c r="K70" s="12"/>
      <c r="L70" s="12"/>
      <c r="M70" s="12"/>
      <c r="N70" s="12"/>
      <c r="O70" s="12"/>
      <c r="P70" s="12"/>
      <c r="Q70" s="12"/>
      <c r="R70" s="12"/>
      <c r="S70" s="12"/>
      <c r="T70" s="12"/>
      <c r="U70" s="12"/>
      <c r="V70" s="12"/>
      <c r="W70" s="12"/>
      <c r="X70" s="12"/>
      <c r="Y70" s="12"/>
      <c r="Z70" s="12"/>
      <c r="AA70" s="12"/>
      <c r="AB70" s="12"/>
      <c r="AC70" s="12"/>
      <c r="AD70" s="12"/>
    </row>
    <row r="71" spans="1:30" x14ac:dyDescent="0.3">
      <c r="A71" s="12"/>
      <c r="B71" s="12"/>
      <c r="C71" s="12"/>
      <c r="D71" s="12"/>
      <c r="E71" s="12"/>
      <c r="F71" s="12"/>
      <c r="G71" s="12"/>
      <c r="H71" s="12"/>
      <c r="I71" s="12"/>
      <c r="J71" s="12"/>
      <c r="K71" s="12"/>
      <c r="L71" s="12"/>
      <c r="M71" s="12"/>
      <c r="N71" s="12"/>
      <c r="O71" s="12"/>
      <c r="P71" s="12"/>
      <c r="Q71" s="12"/>
      <c r="R71" s="12"/>
      <c r="S71" s="12"/>
      <c r="T71" s="12"/>
      <c r="U71" s="12"/>
      <c r="V71" s="12"/>
      <c r="W71" s="12"/>
      <c r="X71" s="12"/>
      <c r="Y71" s="12"/>
      <c r="Z71" s="12"/>
      <c r="AA71" s="12"/>
      <c r="AB71" s="12"/>
      <c r="AC71" s="12"/>
      <c r="AD71" s="12"/>
    </row>
    <row r="72" spans="1:30" x14ac:dyDescent="0.3">
      <c r="A72" s="12"/>
      <c r="B72" s="12"/>
      <c r="C72" s="12"/>
      <c r="D72" s="12"/>
      <c r="E72" s="12"/>
      <c r="F72" s="12"/>
      <c r="G72" s="12"/>
      <c r="H72" s="12"/>
      <c r="I72" s="12"/>
      <c r="J72" s="12"/>
      <c r="K72" s="12"/>
      <c r="L72" s="12"/>
      <c r="M72" s="12"/>
      <c r="N72" s="12"/>
      <c r="O72" s="12"/>
      <c r="P72" s="12"/>
      <c r="Q72" s="12"/>
      <c r="R72" s="12"/>
      <c r="S72" s="12"/>
      <c r="T72" s="12"/>
      <c r="U72" s="12"/>
      <c r="V72" s="12"/>
      <c r="W72" s="12"/>
      <c r="X72" s="12"/>
      <c r="Y72" s="12"/>
      <c r="Z72" s="12"/>
      <c r="AA72" s="12"/>
      <c r="AB72" s="12"/>
      <c r="AC72" s="12"/>
      <c r="AD72" s="12"/>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7409" r:id="rId3" name="Button 1">
              <controlPr defaultSize="0" print="0" autoFill="0" autoPict="0" macro="[0]!ActivaSheet">
                <anchor moveWithCells="1" sizeWithCells="1">
                  <from>
                    <xdr:col>15</xdr:col>
                    <xdr:colOff>292100</xdr:colOff>
                    <xdr:row>10</xdr:row>
                    <xdr:rowOff>69850</xdr:rowOff>
                  </from>
                  <to>
                    <xdr:col>16</xdr:col>
                    <xdr:colOff>558800</xdr:colOff>
                    <xdr:row>12</xdr:row>
                    <xdr:rowOff>177800</xdr:rowOff>
                  </to>
                </anchor>
              </controlPr>
            </control>
          </mc:Choice>
        </mc:AlternateContent>
        <mc:AlternateContent xmlns:mc="http://schemas.openxmlformats.org/markup-compatibility/2006">
          <mc:Choice Requires="x14">
            <control shapeId="17410" r:id="rId4" name="Button 2">
              <controlPr defaultSize="0" print="0" autoFill="0" autoPict="0" macro="[0]!ThisWorkbook.ActivaSheetLink2">
                <anchor moveWithCells="1" sizeWithCells="1">
                  <from>
                    <xdr:col>17</xdr:col>
                    <xdr:colOff>654050</xdr:colOff>
                    <xdr:row>10</xdr:row>
                    <xdr:rowOff>76200</xdr:rowOff>
                  </from>
                  <to>
                    <xdr:col>19</xdr:col>
                    <xdr:colOff>114300</xdr:colOff>
                    <xdr:row>13</xdr:row>
                    <xdr:rowOff>6350</xdr:rowOff>
                  </to>
                </anchor>
              </controlPr>
            </control>
          </mc:Choice>
        </mc:AlternateContent>
        <mc:AlternateContent xmlns:mc="http://schemas.openxmlformats.org/markup-compatibility/2006">
          <mc:Choice Requires="x14">
            <control shapeId="17411" r:id="rId5" name="Button 3">
              <controlPr defaultSize="0" print="0" autoFill="0" autoPict="0" macro="[0]!ThisWorkbook.ActivaSheetLink3">
                <anchor moveWithCells="1" sizeWithCells="1">
                  <from>
                    <xdr:col>20</xdr:col>
                    <xdr:colOff>254000</xdr:colOff>
                    <xdr:row>10</xdr:row>
                    <xdr:rowOff>82550</xdr:rowOff>
                  </from>
                  <to>
                    <xdr:col>21</xdr:col>
                    <xdr:colOff>508000</xdr:colOff>
                    <xdr:row>13</xdr:row>
                    <xdr:rowOff>12700</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81341F-592D-475F-A846-A21F3F3BE633}">
  <sheetPr codeName="Sheet2"/>
  <dimension ref="A1:I22"/>
  <sheetViews>
    <sheetView zoomScale="65" zoomScaleNormal="90" workbookViewId="0">
      <selection activeCell="D28" sqref="D28:XFD28"/>
    </sheetView>
  </sheetViews>
  <sheetFormatPr defaultColWidth="8.83203125" defaultRowHeight="14" x14ac:dyDescent="0.3"/>
  <cols>
    <col min="1" max="1" width="14.33203125" bestFit="1" customWidth="1"/>
    <col min="2" max="2" width="39.4140625" bestFit="1" customWidth="1"/>
    <col min="8" max="8" width="14.33203125" bestFit="1" customWidth="1"/>
    <col min="9" max="9" width="37.1640625" bestFit="1" customWidth="1"/>
  </cols>
  <sheetData>
    <row r="1" spans="1:9" x14ac:dyDescent="0.3">
      <c r="A1" s="3" t="s">
        <v>50</v>
      </c>
      <c r="B1" t="s">
        <v>74</v>
      </c>
      <c r="C1" s="13"/>
      <c r="D1" s="13"/>
      <c r="E1" s="13"/>
      <c r="F1" s="13"/>
      <c r="G1" s="13"/>
      <c r="H1" s="13"/>
      <c r="I1" s="13"/>
    </row>
    <row r="2" spans="1:9" x14ac:dyDescent="0.3">
      <c r="A2" s="4" t="s">
        <v>13</v>
      </c>
      <c r="B2" s="14">
        <v>23918</v>
      </c>
      <c r="C2" s="13"/>
      <c r="D2" s="13"/>
      <c r="E2" s="13"/>
      <c r="F2" s="13"/>
      <c r="G2" s="13"/>
      <c r="H2" s="13"/>
      <c r="I2" s="13"/>
    </row>
    <row r="3" spans="1:9" x14ac:dyDescent="0.3">
      <c r="A3" s="4" t="s">
        <v>15</v>
      </c>
      <c r="B3" s="14">
        <v>18855</v>
      </c>
      <c r="C3" s="13"/>
      <c r="D3" s="13"/>
      <c r="E3" s="13"/>
      <c r="F3" s="13"/>
      <c r="G3" s="13"/>
      <c r="H3" s="13"/>
      <c r="I3" s="13"/>
    </row>
    <row r="4" spans="1:9" x14ac:dyDescent="0.3">
      <c r="A4" s="4" t="s">
        <v>17</v>
      </c>
      <c r="B4" s="14">
        <v>18508</v>
      </c>
      <c r="C4" s="13"/>
      <c r="D4" s="13"/>
      <c r="E4" s="13"/>
      <c r="F4" s="13"/>
      <c r="G4" s="13"/>
      <c r="H4" s="13"/>
      <c r="I4" s="13"/>
    </row>
    <row r="5" spans="1:9" x14ac:dyDescent="0.3">
      <c r="A5" s="4" t="s">
        <v>35</v>
      </c>
      <c r="B5" s="14">
        <v>16085</v>
      </c>
      <c r="C5" s="13"/>
      <c r="D5" s="13"/>
      <c r="E5" s="13"/>
      <c r="F5" s="13"/>
      <c r="G5" s="13"/>
      <c r="H5" s="13"/>
      <c r="I5" s="13"/>
    </row>
    <row r="6" spans="1:9" x14ac:dyDescent="0.3">
      <c r="A6" s="4" t="s">
        <v>0</v>
      </c>
      <c r="B6" s="14">
        <v>15425</v>
      </c>
      <c r="C6" s="13"/>
      <c r="D6" s="13"/>
      <c r="E6" s="13"/>
      <c r="F6" s="13"/>
      <c r="G6" s="13"/>
      <c r="H6" s="13"/>
      <c r="I6" s="13"/>
    </row>
    <row r="7" spans="1:9" x14ac:dyDescent="0.3">
      <c r="A7" s="4" t="s">
        <v>2</v>
      </c>
      <c r="B7" s="14">
        <v>10291</v>
      </c>
      <c r="C7" s="13"/>
      <c r="D7" s="13"/>
      <c r="E7" s="13"/>
      <c r="F7" s="13"/>
      <c r="G7" s="13"/>
      <c r="H7" s="13"/>
      <c r="I7" s="13"/>
    </row>
    <row r="8" spans="1:9" x14ac:dyDescent="0.3">
      <c r="A8" s="4" t="s">
        <v>30</v>
      </c>
      <c r="B8" s="14">
        <v>12519</v>
      </c>
      <c r="C8" s="13"/>
      <c r="D8" s="13"/>
      <c r="E8" s="13"/>
      <c r="F8" s="13"/>
      <c r="G8" s="13"/>
      <c r="H8" s="13"/>
      <c r="I8" s="13"/>
    </row>
    <row r="9" spans="1:9" x14ac:dyDescent="0.3">
      <c r="A9" s="4" t="s">
        <v>20</v>
      </c>
      <c r="B9" s="14">
        <v>12521</v>
      </c>
      <c r="C9" s="13"/>
      <c r="D9" s="13"/>
      <c r="E9" s="13"/>
      <c r="F9" s="13"/>
      <c r="G9" s="13"/>
      <c r="H9" s="13"/>
      <c r="I9" s="13"/>
    </row>
    <row r="10" spans="1:9" x14ac:dyDescent="0.3">
      <c r="A10" s="4" t="s">
        <v>38</v>
      </c>
      <c r="B10" s="14">
        <v>10139</v>
      </c>
      <c r="C10" s="13"/>
      <c r="D10" s="13"/>
      <c r="E10" s="13"/>
      <c r="F10" s="13"/>
      <c r="G10" s="13"/>
      <c r="H10" s="13"/>
      <c r="I10" s="13"/>
    </row>
    <row r="11" spans="1:9" x14ac:dyDescent="0.3">
      <c r="A11" s="4" t="s">
        <v>43</v>
      </c>
      <c r="B11" s="14">
        <v>12022</v>
      </c>
      <c r="C11" s="13"/>
      <c r="D11" s="13"/>
      <c r="E11" s="13"/>
      <c r="F11" s="13"/>
      <c r="G11" s="13"/>
      <c r="H11" s="13"/>
      <c r="I11" s="13"/>
    </row>
    <row r="12" spans="1:9" x14ac:dyDescent="0.3">
      <c r="A12" s="4" t="s">
        <v>39</v>
      </c>
      <c r="B12" s="14">
        <v>9498</v>
      </c>
      <c r="C12" s="13"/>
      <c r="D12" s="13"/>
      <c r="E12" s="13"/>
      <c r="F12" s="13"/>
      <c r="G12" s="13"/>
      <c r="H12" s="13"/>
      <c r="I12" s="13"/>
    </row>
    <row r="13" spans="1:9" x14ac:dyDescent="0.3">
      <c r="A13" s="4" t="s">
        <v>26</v>
      </c>
      <c r="B13" s="14">
        <v>15747</v>
      </c>
      <c r="C13" s="13"/>
      <c r="D13" s="13"/>
      <c r="E13" s="13"/>
      <c r="F13" s="13"/>
      <c r="G13" s="13"/>
      <c r="H13" s="13"/>
      <c r="I13" s="13"/>
    </row>
    <row r="14" spans="1:9" x14ac:dyDescent="0.3">
      <c r="A14" s="4" t="s">
        <v>28</v>
      </c>
      <c r="B14" s="14">
        <v>10524</v>
      </c>
      <c r="C14" s="13"/>
      <c r="D14" s="13"/>
      <c r="E14" s="13"/>
      <c r="F14" s="13"/>
      <c r="G14" s="13"/>
      <c r="H14" s="13"/>
      <c r="I14" s="13"/>
    </row>
    <row r="15" spans="1:9" x14ac:dyDescent="0.3">
      <c r="A15" s="4" t="s">
        <v>33</v>
      </c>
      <c r="B15" s="14">
        <v>11966</v>
      </c>
      <c r="C15" s="13"/>
      <c r="D15" s="13"/>
      <c r="E15" s="13"/>
      <c r="F15" s="13"/>
      <c r="G15" s="13"/>
      <c r="H15" s="13"/>
      <c r="I15" s="13"/>
    </row>
    <row r="16" spans="1:9" x14ac:dyDescent="0.3">
      <c r="A16" s="4" t="s">
        <v>37</v>
      </c>
      <c r="B16" s="14">
        <v>10437</v>
      </c>
      <c r="C16" s="13"/>
      <c r="D16" s="13"/>
      <c r="E16" s="13"/>
      <c r="F16" s="13"/>
      <c r="G16" s="13"/>
      <c r="H16" s="13"/>
      <c r="I16" s="13"/>
    </row>
    <row r="17" spans="1:9" x14ac:dyDescent="0.3">
      <c r="A17" s="4" t="s">
        <v>72</v>
      </c>
      <c r="B17" s="14">
        <v>14192</v>
      </c>
      <c r="C17" s="13"/>
      <c r="D17" s="13"/>
      <c r="E17" s="13"/>
      <c r="F17" s="13"/>
      <c r="G17" s="13"/>
      <c r="H17" s="13"/>
      <c r="I17" s="13"/>
    </row>
    <row r="18" spans="1:9" x14ac:dyDescent="0.3">
      <c r="A18" s="4" t="s">
        <v>41</v>
      </c>
      <c r="B18" s="14">
        <v>9531</v>
      </c>
      <c r="C18" s="13"/>
      <c r="D18" s="13"/>
      <c r="E18" s="13"/>
      <c r="F18" s="13"/>
      <c r="G18" s="13"/>
      <c r="H18" s="13"/>
      <c r="I18" s="13"/>
    </row>
    <row r="19" spans="1:9" x14ac:dyDescent="0.3">
      <c r="A19" s="4" t="s">
        <v>24</v>
      </c>
      <c r="B19" s="14">
        <v>14373</v>
      </c>
      <c r="C19" s="13"/>
      <c r="D19" s="13"/>
      <c r="E19" s="13"/>
      <c r="F19" s="13"/>
      <c r="G19" s="13"/>
      <c r="H19" s="13"/>
      <c r="I19" s="13"/>
    </row>
    <row r="20" spans="1:9" x14ac:dyDescent="0.3">
      <c r="A20" s="4" t="s">
        <v>32</v>
      </c>
      <c r="B20" s="14">
        <v>9438</v>
      </c>
      <c r="C20" s="13"/>
      <c r="D20" s="13"/>
      <c r="E20" s="13"/>
      <c r="F20" s="13"/>
      <c r="G20" s="13"/>
      <c r="H20" s="13"/>
      <c r="I20" s="13"/>
    </row>
    <row r="21" spans="1:9" x14ac:dyDescent="0.3">
      <c r="A21" s="4" t="s">
        <v>22</v>
      </c>
      <c r="B21" s="14">
        <v>23069</v>
      </c>
      <c r="C21" s="13"/>
      <c r="D21" s="13"/>
      <c r="E21" s="13"/>
      <c r="F21" s="13"/>
      <c r="G21" s="13"/>
      <c r="H21" s="13"/>
      <c r="I21" s="13"/>
    </row>
    <row r="22" spans="1:9" x14ac:dyDescent="0.3">
      <c r="A22" s="4" t="s">
        <v>51</v>
      </c>
      <c r="B22" s="14">
        <v>279058</v>
      </c>
      <c r="C22" s="13"/>
      <c r="D22" s="13"/>
      <c r="E22" s="13"/>
      <c r="F22" s="13"/>
      <c r="G22" s="13"/>
      <c r="H22" s="13"/>
      <c r="I22" s="13"/>
    </row>
  </sheetData>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Link3toDash">
                <anchor moveWithCells="1" sizeWithCells="1">
                  <from>
                    <xdr:col>2</xdr:col>
                    <xdr:colOff>660400</xdr:colOff>
                    <xdr:row>0</xdr:row>
                    <xdr:rowOff>82550</xdr:rowOff>
                  </from>
                  <to>
                    <xdr:col>4</xdr:col>
                    <xdr:colOff>469900</xdr:colOff>
                    <xdr:row>3</xdr:row>
                    <xdr:rowOff>44450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653324-D752-4002-A837-D4751656B3B9}">
  <sheetPr codeName="Sheet3"/>
  <dimension ref="A1:O22"/>
  <sheetViews>
    <sheetView zoomScale="68" workbookViewId="0">
      <selection activeCell="D28" sqref="D28:XFD28"/>
    </sheetView>
  </sheetViews>
  <sheetFormatPr defaultColWidth="8.83203125" defaultRowHeight="14" x14ac:dyDescent="0.3"/>
  <cols>
    <col min="1" max="1" width="14.33203125" bestFit="1" customWidth="1"/>
    <col min="2" max="2" width="18.33203125" bestFit="1" customWidth="1"/>
  </cols>
  <sheetData>
    <row r="1" spans="1:15" x14ac:dyDescent="0.3">
      <c r="A1" s="3" t="s">
        <v>50</v>
      </c>
      <c r="B1" t="s">
        <v>73</v>
      </c>
      <c r="C1" s="13"/>
      <c r="D1" s="13"/>
      <c r="E1" s="13"/>
      <c r="F1" s="13"/>
      <c r="G1" s="13"/>
      <c r="H1" s="13"/>
      <c r="I1" s="13"/>
      <c r="J1" s="13"/>
      <c r="K1" s="13"/>
      <c r="L1" s="13"/>
      <c r="M1" s="13"/>
      <c r="N1" s="13"/>
      <c r="O1" s="13"/>
    </row>
    <row r="2" spans="1:15" x14ac:dyDescent="0.3">
      <c r="A2" s="4" t="s">
        <v>13</v>
      </c>
      <c r="B2" s="14">
        <v>672814</v>
      </c>
      <c r="C2" s="13"/>
      <c r="D2" s="13"/>
      <c r="E2" s="13"/>
      <c r="F2" s="13"/>
      <c r="G2" s="13"/>
      <c r="H2" s="13"/>
      <c r="I2" s="13"/>
      <c r="J2" s="13"/>
      <c r="K2" s="13"/>
      <c r="L2" s="13"/>
      <c r="M2" s="13"/>
      <c r="N2" s="13"/>
      <c r="O2" s="13"/>
    </row>
    <row r="3" spans="1:15" x14ac:dyDescent="0.3">
      <c r="A3" s="4" t="s">
        <v>15</v>
      </c>
      <c r="B3" s="14">
        <v>8736047</v>
      </c>
      <c r="C3" s="13"/>
      <c r="D3" s="13"/>
      <c r="E3" s="13"/>
      <c r="F3" s="13"/>
      <c r="G3" s="13"/>
      <c r="H3" s="13"/>
      <c r="I3" s="13"/>
      <c r="J3" s="13"/>
      <c r="K3" s="13"/>
      <c r="L3" s="13"/>
      <c r="M3" s="13"/>
      <c r="N3" s="13"/>
      <c r="O3" s="13"/>
    </row>
    <row r="4" spans="1:15" x14ac:dyDescent="0.3">
      <c r="A4" s="4" t="s">
        <v>17</v>
      </c>
      <c r="B4" s="14">
        <v>2742119</v>
      </c>
      <c r="C4" s="13"/>
      <c r="D4" s="13"/>
      <c r="E4" s="13"/>
      <c r="F4" s="13"/>
      <c r="G4" s="13"/>
      <c r="H4" s="13"/>
      <c r="I4" s="13"/>
      <c r="J4" s="13"/>
      <c r="K4" s="13"/>
      <c r="L4" s="13"/>
      <c r="M4" s="13"/>
      <c r="N4" s="13"/>
      <c r="O4" s="13"/>
    </row>
    <row r="5" spans="1:15" x14ac:dyDescent="0.3">
      <c r="A5" s="4" t="s">
        <v>35</v>
      </c>
      <c r="B5" s="14">
        <v>592211</v>
      </c>
      <c r="C5" s="13"/>
      <c r="D5" s="13"/>
      <c r="E5" s="13"/>
      <c r="F5" s="13"/>
      <c r="G5" s="13"/>
      <c r="H5" s="13"/>
      <c r="I5" s="13"/>
      <c r="J5" s="13"/>
      <c r="K5" s="13"/>
      <c r="L5" s="13"/>
      <c r="M5" s="13"/>
      <c r="N5" s="13"/>
      <c r="O5" s="13"/>
    </row>
    <row r="6" spans="1:15" x14ac:dyDescent="0.3">
      <c r="A6" s="4" t="s">
        <v>0</v>
      </c>
      <c r="B6" s="14">
        <v>374861</v>
      </c>
      <c r="C6" s="13"/>
      <c r="D6" s="13"/>
      <c r="E6" s="13"/>
      <c r="F6" s="13"/>
      <c r="G6" s="13"/>
      <c r="H6" s="13"/>
      <c r="I6" s="13"/>
      <c r="J6" s="13"/>
      <c r="K6" s="13"/>
      <c r="L6" s="13"/>
      <c r="M6" s="13"/>
      <c r="N6" s="13"/>
      <c r="O6" s="13"/>
    </row>
    <row r="7" spans="1:15" x14ac:dyDescent="0.3">
      <c r="A7" s="4" t="s">
        <v>2</v>
      </c>
      <c r="B7" s="14">
        <v>1300239</v>
      </c>
      <c r="C7" s="13"/>
      <c r="D7" s="13"/>
      <c r="E7" s="13"/>
      <c r="F7" s="13"/>
      <c r="G7" s="13"/>
      <c r="H7" s="13"/>
      <c r="I7" s="13"/>
      <c r="J7" s="13"/>
      <c r="K7" s="13"/>
      <c r="L7" s="13"/>
      <c r="M7" s="13"/>
      <c r="N7" s="13"/>
      <c r="O7" s="13"/>
    </row>
    <row r="8" spans="1:15" x14ac:dyDescent="0.3">
      <c r="A8" s="4" t="s">
        <v>30</v>
      </c>
      <c r="B8" s="14">
        <v>706799</v>
      </c>
      <c r="C8" s="13"/>
      <c r="D8" s="13"/>
      <c r="E8" s="13"/>
      <c r="F8" s="13"/>
      <c r="G8" s="13"/>
      <c r="H8" s="13"/>
      <c r="I8" s="13"/>
      <c r="J8" s="13"/>
      <c r="K8" s="13"/>
      <c r="L8" s="13"/>
      <c r="M8" s="13"/>
      <c r="N8" s="13"/>
      <c r="O8" s="13"/>
    </row>
    <row r="9" spans="1:15" x14ac:dyDescent="0.3">
      <c r="A9" s="4" t="s">
        <v>20</v>
      </c>
      <c r="B9" s="14">
        <v>645658</v>
      </c>
      <c r="C9" s="13"/>
      <c r="D9" s="13"/>
      <c r="E9" s="13"/>
      <c r="F9" s="13"/>
      <c r="G9" s="13"/>
      <c r="H9" s="13"/>
      <c r="I9" s="13"/>
      <c r="J9" s="13"/>
      <c r="K9" s="13"/>
      <c r="L9" s="13"/>
      <c r="M9" s="13"/>
      <c r="N9" s="13"/>
      <c r="O9" s="13"/>
    </row>
    <row r="10" spans="1:15" x14ac:dyDescent="0.3">
      <c r="A10" s="4" t="s">
        <v>38</v>
      </c>
      <c r="B10" s="14">
        <v>2293288</v>
      </c>
      <c r="C10" s="13"/>
      <c r="D10" s="13"/>
      <c r="E10" s="13"/>
      <c r="F10" s="13"/>
      <c r="G10" s="13"/>
      <c r="H10" s="13"/>
      <c r="I10" s="13"/>
      <c r="J10" s="13"/>
      <c r="K10" s="13"/>
      <c r="L10" s="13"/>
      <c r="M10" s="13"/>
      <c r="N10" s="13"/>
      <c r="O10" s="13"/>
    </row>
    <row r="11" spans="1:15" x14ac:dyDescent="0.3">
      <c r="A11" s="4" t="s">
        <v>43</v>
      </c>
      <c r="B11" s="14">
        <v>502597</v>
      </c>
      <c r="C11" s="13"/>
      <c r="D11" s="13"/>
      <c r="E11" s="13"/>
      <c r="F11" s="13"/>
      <c r="G11" s="13"/>
      <c r="H11" s="13"/>
      <c r="I11" s="13"/>
      <c r="J11" s="13"/>
      <c r="K11" s="13"/>
      <c r="L11" s="13"/>
      <c r="M11" s="13"/>
      <c r="N11" s="13"/>
      <c r="O11" s="13"/>
    </row>
    <row r="12" spans="1:15" x14ac:dyDescent="0.3">
      <c r="A12" s="4" t="s">
        <v>39</v>
      </c>
      <c r="B12" s="14">
        <v>634786</v>
      </c>
      <c r="C12" s="13"/>
      <c r="D12" s="13"/>
      <c r="E12" s="13"/>
      <c r="F12" s="13"/>
      <c r="G12" s="13"/>
      <c r="H12" s="13"/>
      <c r="I12" s="13"/>
      <c r="J12" s="13"/>
      <c r="K12" s="13"/>
      <c r="L12" s="13"/>
      <c r="M12" s="13"/>
      <c r="N12" s="13"/>
      <c r="O12" s="13"/>
    </row>
    <row r="13" spans="1:15" x14ac:dyDescent="0.3">
      <c r="A13" s="4" t="s">
        <v>26</v>
      </c>
      <c r="B13" s="14">
        <v>114730</v>
      </c>
      <c r="C13" s="13"/>
      <c r="D13" s="13"/>
      <c r="E13" s="13"/>
      <c r="F13" s="13"/>
      <c r="G13" s="13"/>
      <c r="H13" s="13"/>
      <c r="I13" s="13"/>
      <c r="J13" s="13"/>
      <c r="K13" s="13"/>
      <c r="L13" s="13"/>
      <c r="M13" s="13"/>
      <c r="N13" s="13"/>
      <c r="O13" s="13"/>
    </row>
    <row r="14" spans="1:15" x14ac:dyDescent="0.3">
      <c r="A14" s="4" t="s">
        <v>28</v>
      </c>
      <c r="B14" s="14">
        <v>440807</v>
      </c>
      <c r="C14" s="13"/>
      <c r="D14" s="13"/>
      <c r="E14" s="13"/>
      <c r="F14" s="13"/>
      <c r="G14" s="13"/>
      <c r="H14" s="13"/>
      <c r="I14" s="13"/>
      <c r="J14" s="13"/>
      <c r="K14" s="13"/>
      <c r="L14" s="13"/>
      <c r="M14" s="13"/>
      <c r="N14" s="13"/>
      <c r="O14" s="13"/>
    </row>
    <row r="15" spans="1:15" x14ac:dyDescent="0.3">
      <c r="A15" s="4" t="s">
        <v>33</v>
      </c>
      <c r="B15" s="14">
        <v>682646</v>
      </c>
      <c r="C15" s="13"/>
      <c r="D15" s="13"/>
      <c r="E15" s="13"/>
      <c r="F15" s="13"/>
      <c r="G15" s="13"/>
      <c r="H15" s="13"/>
      <c r="I15" s="13"/>
      <c r="J15" s="13"/>
      <c r="K15" s="13"/>
      <c r="L15" s="13"/>
      <c r="M15" s="13"/>
      <c r="N15" s="13"/>
      <c r="O15" s="13"/>
    </row>
    <row r="16" spans="1:15" x14ac:dyDescent="0.3">
      <c r="A16" s="4" t="s">
        <v>37</v>
      </c>
      <c r="B16" s="14">
        <v>302968</v>
      </c>
      <c r="C16" s="13"/>
      <c r="D16" s="13"/>
      <c r="E16" s="13"/>
      <c r="F16" s="13"/>
      <c r="G16" s="13"/>
      <c r="H16" s="13"/>
      <c r="I16" s="13"/>
      <c r="J16" s="13"/>
      <c r="K16" s="13"/>
      <c r="L16" s="13"/>
      <c r="M16" s="13"/>
      <c r="N16" s="13"/>
      <c r="O16" s="13"/>
    </row>
    <row r="17" spans="1:15" x14ac:dyDescent="0.3">
      <c r="A17" s="4" t="s">
        <v>72</v>
      </c>
      <c r="B17" s="14">
        <v>1596865</v>
      </c>
      <c r="C17" s="13"/>
      <c r="D17" s="13"/>
      <c r="E17" s="13"/>
      <c r="F17" s="13"/>
      <c r="G17" s="13"/>
      <c r="H17" s="13"/>
      <c r="I17" s="13"/>
      <c r="J17" s="13"/>
      <c r="K17" s="13"/>
      <c r="L17" s="13"/>
      <c r="M17" s="13"/>
      <c r="N17" s="13"/>
      <c r="O17" s="13"/>
    </row>
    <row r="18" spans="1:15" x14ac:dyDescent="0.3">
      <c r="A18" s="4" t="s">
        <v>41</v>
      </c>
      <c r="B18" s="14">
        <v>462219</v>
      </c>
      <c r="C18" s="13"/>
      <c r="D18" s="13"/>
      <c r="E18" s="13"/>
      <c r="F18" s="13"/>
      <c r="G18" s="13"/>
      <c r="H18" s="13"/>
      <c r="I18" s="13"/>
      <c r="J18" s="13"/>
      <c r="K18" s="13"/>
      <c r="L18" s="13"/>
      <c r="M18" s="13"/>
      <c r="N18" s="13"/>
      <c r="O18" s="13"/>
    </row>
    <row r="19" spans="1:15" x14ac:dyDescent="0.3">
      <c r="A19" s="4" t="s">
        <v>24</v>
      </c>
      <c r="B19" s="14">
        <v>225676</v>
      </c>
      <c r="C19" s="13"/>
      <c r="D19" s="13"/>
      <c r="E19" s="13"/>
      <c r="F19" s="13"/>
      <c r="G19" s="13"/>
      <c r="H19" s="13"/>
      <c r="I19" s="13"/>
      <c r="J19" s="13"/>
      <c r="K19" s="13"/>
      <c r="L19" s="13"/>
      <c r="M19" s="13"/>
      <c r="N19" s="13"/>
      <c r="O19" s="13"/>
    </row>
    <row r="20" spans="1:15" x14ac:dyDescent="0.3">
      <c r="A20" s="4" t="s">
        <v>32</v>
      </c>
      <c r="B20" s="14">
        <v>380447</v>
      </c>
      <c r="C20" s="13"/>
      <c r="D20" s="13"/>
      <c r="E20" s="13"/>
      <c r="F20" s="13"/>
      <c r="G20" s="13"/>
      <c r="H20" s="13"/>
      <c r="I20" s="13"/>
      <c r="J20" s="13"/>
      <c r="K20" s="13"/>
      <c r="L20" s="13"/>
      <c r="M20" s="13"/>
      <c r="N20" s="13"/>
      <c r="O20" s="13"/>
    </row>
    <row r="21" spans="1:15" x14ac:dyDescent="0.3">
      <c r="A21" s="4" t="s">
        <v>22</v>
      </c>
      <c r="B21" s="14">
        <v>683154</v>
      </c>
      <c r="C21" s="13"/>
      <c r="D21" s="13"/>
      <c r="E21" s="13"/>
      <c r="F21" s="13"/>
      <c r="G21" s="13"/>
      <c r="H21" s="13"/>
      <c r="I21" s="13"/>
      <c r="J21" s="13"/>
      <c r="K21" s="13"/>
      <c r="L21" s="13"/>
      <c r="M21" s="13"/>
      <c r="N21" s="13"/>
      <c r="O21" s="13"/>
    </row>
    <row r="22" spans="1:15" x14ac:dyDescent="0.3">
      <c r="A22" s="4" t="s">
        <v>51</v>
      </c>
      <c r="B22" s="14">
        <v>24090931</v>
      </c>
      <c r="C22" s="13"/>
      <c r="D22" s="13"/>
      <c r="E22" s="13"/>
      <c r="F22" s="13"/>
      <c r="G22" s="13"/>
      <c r="H22" s="13"/>
      <c r="I22" s="13"/>
      <c r="J22" s="13"/>
      <c r="K22" s="13"/>
      <c r="L22" s="13"/>
      <c r="M22" s="13"/>
      <c r="N22" s="13"/>
      <c r="O22" s="13"/>
    </row>
  </sheetData>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Link2toDash">
                <anchor moveWithCells="1" sizeWithCells="1">
                  <from>
                    <xdr:col>3</xdr:col>
                    <xdr:colOff>457200</xdr:colOff>
                    <xdr:row>0</xdr:row>
                    <xdr:rowOff>139700</xdr:rowOff>
                  </from>
                  <to>
                    <xdr:col>5</xdr:col>
                    <xdr:colOff>330200</xdr:colOff>
                    <xdr:row>3</xdr:row>
                    <xdr:rowOff>63500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30FCAF-F556-477D-8B51-AFA2D902CEA5}">
  <sheetPr codeName="Sheet4"/>
  <dimension ref="A1:B21"/>
  <sheetViews>
    <sheetView zoomScale="80" zoomScaleNormal="80" workbookViewId="0">
      <selection activeCell="D28" sqref="D28:XFD28"/>
    </sheetView>
  </sheetViews>
  <sheetFormatPr defaultColWidth="8.83203125" defaultRowHeight="14" x14ac:dyDescent="0.3"/>
  <cols>
    <col min="1" max="1" width="14.33203125" bestFit="1" customWidth="1"/>
    <col min="2" max="2" width="17.1640625" bestFit="1" customWidth="1"/>
    <col min="3" max="3" width="14.33203125" bestFit="1" customWidth="1"/>
    <col min="4" max="4" width="15.1640625" bestFit="1" customWidth="1"/>
    <col min="6" max="6" width="14.33203125" bestFit="1" customWidth="1"/>
    <col min="7" max="7" width="16.83203125" customWidth="1"/>
  </cols>
  <sheetData>
    <row r="1" spans="1:2" x14ac:dyDescent="0.3">
      <c r="A1" s="11" t="s">
        <v>12</v>
      </c>
      <c r="B1" s="11" t="s">
        <v>10</v>
      </c>
    </row>
    <row r="2" spans="1:2" x14ac:dyDescent="0.3">
      <c r="A2" s="4" t="s">
        <v>13</v>
      </c>
      <c r="B2">
        <v>6.9</v>
      </c>
    </row>
    <row r="3" spans="1:2" x14ac:dyDescent="0.3">
      <c r="A3" s="4" t="s">
        <v>15</v>
      </c>
      <c r="B3">
        <v>7.3</v>
      </c>
    </row>
    <row r="4" spans="1:2" x14ac:dyDescent="0.3">
      <c r="A4" s="4" t="s">
        <v>17</v>
      </c>
      <c r="B4">
        <v>7</v>
      </c>
    </row>
    <row r="5" spans="1:2" x14ac:dyDescent="0.3">
      <c r="A5" s="4" t="s">
        <v>35</v>
      </c>
      <c r="B5">
        <v>7.3</v>
      </c>
    </row>
    <row r="6" spans="1:2" x14ac:dyDescent="0.3">
      <c r="A6" s="4" t="s">
        <v>0</v>
      </c>
      <c r="B6">
        <v>6.8</v>
      </c>
    </row>
    <row r="7" spans="1:2" x14ac:dyDescent="0.3">
      <c r="A7" s="4" t="s">
        <v>2</v>
      </c>
      <c r="B7">
        <v>7.1</v>
      </c>
    </row>
    <row r="8" spans="1:2" x14ac:dyDescent="0.3">
      <c r="A8" s="4" t="s">
        <v>30</v>
      </c>
      <c r="B8">
        <v>7.3</v>
      </c>
    </row>
    <row r="9" spans="1:2" x14ac:dyDescent="0.3">
      <c r="A9" s="4" t="s">
        <v>20</v>
      </c>
      <c r="B9">
        <v>6.9</v>
      </c>
    </row>
    <row r="10" spans="1:2" x14ac:dyDescent="0.3">
      <c r="A10" s="4" t="s">
        <v>38</v>
      </c>
      <c r="B10">
        <v>6.6</v>
      </c>
    </row>
    <row r="11" spans="1:2" x14ac:dyDescent="0.3">
      <c r="A11" s="4" t="s">
        <v>43</v>
      </c>
      <c r="B11">
        <v>7.2</v>
      </c>
    </row>
    <row r="12" spans="1:2" x14ac:dyDescent="0.3">
      <c r="A12" s="4" t="s">
        <v>39</v>
      </c>
      <c r="B12">
        <v>7.4</v>
      </c>
    </row>
    <row r="13" spans="1:2" x14ac:dyDescent="0.3">
      <c r="A13" s="4" t="s">
        <v>26</v>
      </c>
      <c r="B13">
        <v>6.8</v>
      </c>
    </row>
    <row r="14" spans="1:2" x14ac:dyDescent="0.3">
      <c r="A14" s="4" t="s">
        <v>28</v>
      </c>
      <c r="B14">
        <v>6.4</v>
      </c>
    </row>
    <row r="15" spans="1:2" x14ac:dyDescent="0.3">
      <c r="A15" s="4" t="s">
        <v>33</v>
      </c>
      <c r="B15">
        <v>7.3</v>
      </c>
    </row>
    <row r="16" spans="1:2" x14ac:dyDescent="0.3">
      <c r="A16" s="4" t="s">
        <v>37</v>
      </c>
      <c r="B16">
        <v>6.7</v>
      </c>
    </row>
    <row r="17" spans="1:2" x14ac:dyDescent="0.3">
      <c r="A17" s="4" t="s">
        <v>16</v>
      </c>
      <c r="B17">
        <v>7.3</v>
      </c>
    </row>
    <row r="18" spans="1:2" x14ac:dyDescent="0.3">
      <c r="A18" s="4" t="s">
        <v>41</v>
      </c>
      <c r="B18">
        <v>7.5</v>
      </c>
    </row>
    <row r="19" spans="1:2" x14ac:dyDescent="0.3">
      <c r="A19" s="4" t="s">
        <v>24</v>
      </c>
      <c r="B19">
        <v>7.3</v>
      </c>
    </row>
    <row r="20" spans="1:2" x14ac:dyDescent="0.3">
      <c r="A20" s="4" t="s">
        <v>32</v>
      </c>
      <c r="B20">
        <v>6.8</v>
      </c>
    </row>
    <row r="21" spans="1:2" x14ac:dyDescent="0.3">
      <c r="A21" s="4" t="s">
        <v>22</v>
      </c>
      <c r="B21">
        <v>7.3</v>
      </c>
    </row>
  </sheetData>
  <conditionalFormatting sqref="A1:B21">
    <cfRule type="dataBar" priority="2">
      <dataBar>
        <cfvo type="min"/>
        <cfvo type="max"/>
        <color rgb="FF638EC6"/>
      </dataBar>
      <extLst>
        <ext xmlns:x14="http://schemas.microsoft.com/office/spreadsheetml/2009/9/main" uri="{B025F937-C7B1-47D3-B67F-A62EFF666E3E}">
          <x14:id>{69E2A4F3-6CF8-4EDA-97C8-F12F67384642}</x14:id>
        </ext>
      </extLst>
    </cfRule>
  </conditionalFormatting>
  <conditionalFormatting sqref="C5">
    <cfRule type="dataBar" priority="1">
      <dataBar>
        <cfvo type="min"/>
        <cfvo type="max"/>
        <color rgb="FF638EC6"/>
      </dataBar>
      <extLst>
        <ext xmlns:x14="http://schemas.microsoft.com/office/spreadsheetml/2009/9/main" uri="{B025F937-C7B1-47D3-B67F-A62EFF666E3E}">
          <x14:id>{1E7716C9-7F7A-4E09-A825-CCD8F425A63B}</x14:id>
        </ext>
      </extLst>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1" r:id="rId3" name="Button 1">
              <controlPr defaultSize="0" print="0" autoFill="0" autoPict="0" macro="[0]!Sheet1toMacro">
                <anchor moveWithCells="1" sizeWithCells="1">
                  <from>
                    <xdr:col>3</xdr:col>
                    <xdr:colOff>139700</xdr:colOff>
                    <xdr:row>0</xdr:row>
                    <xdr:rowOff>107950</xdr:rowOff>
                  </from>
                  <to>
                    <xdr:col>4</xdr:col>
                    <xdr:colOff>666750</xdr:colOff>
                    <xdr:row>3</xdr:row>
                    <xdr:rowOff>88900</xdr:rowOff>
                  </to>
                </anchor>
              </controlPr>
            </control>
          </mc:Choice>
        </mc:AlternateContent>
      </controls>
    </mc:Choice>
  </mc:AlternateContent>
  <tableParts count="1">
    <tablePart r:id="rId4"/>
  </tableParts>
  <extLst>
    <ext xmlns:x14="http://schemas.microsoft.com/office/spreadsheetml/2009/9/main" uri="{78C0D931-6437-407d-A8EE-F0AAD7539E65}">
      <x14:conditionalFormattings>
        <x14:conditionalFormatting xmlns:xm="http://schemas.microsoft.com/office/excel/2006/main">
          <x14:cfRule type="dataBar" id="{69E2A4F3-6CF8-4EDA-97C8-F12F67384642}">
            <x14:dataBar minLength="0" maxLength="100" border="1" negativeBarBorderColorSameAsPositive="0">
              <x14:cfvo type="autoMin"/>
              <x14:cfvo type="autoMax"/>
              <x14:borderColor rgb="FF638EC6"/>
              <x14:negativeFillColor rgb="FFFF0000"/>
              <x14:negativeBorderColor rgb="FFFF0000"/>
              <x14:axisColor rgb="FF000000"/>
            </x14:dataBar>
          </x14:cfRule>
          <xm:sqref>A1:B21</xm:sqref>
        </x14:conditionalFormatting>
        <x14:conditionalFormatting xmlns:xm="http://schemas.microsoft.com/office/excel/2006/main">
          <x14:cfRule type="dataBar" id="{1E7716C9-7F7A-4E09-A825-CCD8F425A63B}">
            <x14:dataBar minLength="0" maxLength="100" border="1" negativeBarBorderColorSameAsPositive="0">
              <x14:cfvo type="autoMin"/>
              <x14:cfvo type="autoMax"/>
              <x14:borderColor rgb="FF638EC6"/>
              <x14:negativeFillColor rgb="FFFF0000"/>
              <x14:negativeBorderColor rgb="FFFF0000"/>
              <x14:axisColor rgb="FF000000"/>
            </x14:dataBar>
          </x14:cfRule>
          <xm:sqref>C5</xm:sqref>
        </x14:conditionalFormatting>
      </x14:conditionalFormatting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BA4B91-D7F8-45DF-B706-A1587FD0B32E}">
  <sheetPr codeName="Sheet5"/>
  <dimension ref="A3:C5"/>
  <sheetViews>
    <sheetView workbookViewId="0">
      <selection activeCell="D28" sqref="D28:XFD28"/>
    </sheetView>
  </sheetViews>
  <sheetFormatPr defaultColWidth="8.83203125" defaultRowHeight="14" x14ac:dyDescent="0.3"/>
  <cols>
    <col min="1" max="1" width="13.6640625" bestFit="1" customWidth="1"/>
    <col min="2" max="2" width="23.1640625" bestFit="1" customWidth="1"/>
    <col min="3" max="3" width="22.33203125" bestFit="1" customWidth="1"/>
    <col min="4" max="4" width="19.83203125" customWidth="1"/>
  </cols>
  <sheetData>
    <row r="3" spans="1:3" x14ac:dyDescent="0.3">
      <c r="A3" s="3" t="s">
        <v>50</v>
      </c>
      <c r="B3" t="s">
        <v>52</v>
      </c>
      <c r="C3" t="s">
        <v>54</v>
      </c>
    </row>
    <row r="4" spans="1:3" x14ac:dyDescent="0.3">
      <c r="A4" s="4" t="s">
        <v>33</v>
      </c>
      <c r="B4">
        <v>413200</v>
      </c>
      <c r="C4">
        <v>65565</v>
      </c>
    </row>
    <row r="5" spans="1:3" x14ac:dyDescent="0.3">
      <c r="A5" s="4" t="s">
        <v>51</v>
      </c>
      <c r="B5">
        <v>413200</v>
      </c>
      <c r="C5">
        <v>65565</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E808FC-DB50-4D34-9F9F-3CB5CDBE04CE}">
  <sheetPr codeName="Sheet6"/>
  <dimension ref="A1:E24"/>
  <sheetViews>
    <sheetView workbookViewId="0">
      <selection activeCell="D17" sqref="D17"/>
    </sheetView>
  </sheetViews>
  <sheetFormatPr defaultColWidth="8.83203125" defaultRowHeight="14" x14ac:dyDescent="0.3"/>
  <cols>
    <col min="1" max="1" width="14.25" bestFit="1" customWidth="1"/>
    <col min="2" max="2" width="19.58203125" bestFit="1" customWidth="1"/>
    <col min="3" max="3" width="26.83203125" bestFit="1" customWidth="1"/>
  </cols>
  <sheetData>
    <row r="1" spans="1:5" x14ac:dyDescent="0.3">
      <c r="A1" t="str">
        <f>"The Crime Rank in this city is "&amp;GETPIVOTDATA("Crime Rank",$A$3,"Cities",A4)</f>
        <v>The Crime Rank in this city is 37.3</v>
      </c>
    </row>
    <row r="3" spans="1:5" x14ac:dyDescent="0.3">
      <c r="A3" s="3" t="s">
        <v>50</v>
      </c>
      <c r="B3" t="s">
        <v>55</v>
      </c>
      <c r="C3" t="s">
        <v>57</v>
      </c>
      <c r="E3" t="str">
        <f>"The Average Commute Time is "&amp;GETPIVOTDATA("Sum of Avg Commute Time",$A$3,"Cities",A4)&amp;" minutes"</f>
        <v>The Average Commute Time is 30.44 minutes</v>
      </c>
    </row>
    <row r="4" spans="1:5" x14ac:dyDescent="0.3">
      <c r="A4" s="4" t="s">
        <v>13</v>
      </c>
      <c r="B4">
        <v>37.299999999999997</v>
      </c>
      <c r="C4">
        <v>30.44</v>
      </c>
    </row>
    <row r="5" spans="1:5" x14ac:dyDescent="0.3">
      <c r="A5" s="4" t="s">
        <v>15</v>
      </c>
      <c r="B5">
        <v>28.2</v>
      </c>
      <c r="C5">
        <v>40.78</v>
      </c>
    </row>
    <row r="6" spans="1:5" x14ac:dyDescent="0.3">
      <c r="A6" s="4" t="s">
        <v>17</v>
      </c>
      <c r="B6">
        <v>49.9</v>
      </c>
      <c r="C6">
        <v>34.630000000000003</v>
      </c>
    </row>
    <row r="7" spans="1:5" x14ac:dyDescent="0.3">
      <c r="A7" s="4" t="s">
        <v>35</v>
      </c>
      <c r="B7">
        <v>77.8</v>
      </c>
      <c r="C7">
        <v>30.66</v>
      </c>
    </row>
    <row r="8" spans="1:5" x14ac:dyDescent="0.3">
      <c r="A8" s="4" t="s">
        <v>0</v>
      </c>
      <c r="B8">
        <v>72.5</v>
      </c>
      <c r="C8">
        <v>24.14</v>
      </c>
    </row>
    <row r="9" spans="1:5" x14ac:dyDescent="0.3">
      <c r="A9" s="4" t="s">
        <v>2</v>
      </c>
      <c r="B9">
        <v>37</v>
      </c>
      <c r="C9">
        <v>26.78</v>
      </c>
    </row>
    <row r="10" spans="1:5" x14ac:dyDescent="0.3">
      <c r="A10" s="4" t="s">
        <v>30</v>
      </c>
      <c r="B10">
        <v>30.7</v>
      </c>
      <c r="C10">
        <v>25.32</v>
      </c>
    </row>
    <row r="11" spans="1:5" x14ac:dyDescent="0.3">
      <c r="A11" s="4" t="s">
        <v>38</v>
      </c>
      <c r="B11">
        <v>50.4</v>
      </c>
      <c r="C11">
        <v>27</v>
      </c>
    </row>
    <row r="12" spans="1:5" x14ac:dyDescent="0.3">
      <c r="A12" s="4" t="s">
        <v>43</v>
      </c>
      <c r="B12">
        <v>70.8</v>
      </c>
      <c r="C12">
        <v>21.76</v>
      </c>
    </row>
    <row r="13" spans="1:5" x14ac:dyDescent="0.3">
      <c r="A13" s="4" t="s">
        <v>39</v>
      </c>
      <c r="B13">
        <v>40.9</v>
      </c>
      <c r="C13">
        <v>25.43</v>
      </c>
    </row>
    <row r="14" spans="1:5" x14ac:dyDescent="0.3">
      <c r="A14" s="4" t="s">
        <v>26</v>
      </c>
      <c r="B14">
        <v>34.799999999999997</v>
      </c>
      <c r="C14">
        <v>23.34</v>
      </c>
    </row>
    <row r="15" spans="1:5" x14ac:dyDescent="0.3">
      <c r="A15" s="4" t="s">
        <v>28</v>
      </c>
      <c r="B15">
        <v>48.8</v>
      </c>
      <c r="C15">
        <v>28.3</v>
      </c>
    </row>
    <row r="16" spans="1:5" x14ac:dyDescent="0.3">
      <c r="A16" s="4" t="s">
        <v>33</v>
      </c>
      <c r="B16">
        <v>54.6</v>
      </c>
      <c r="C16">
        <v>24.62</v>
      </c>
    </row>
    <row r="17" spans="1:3" x14ac:dyDescent="0.3">
      <c r="A17" s="4" t="s">
        <v>37</v>
      </c>
      <c r="B17">
        <v>44.1</v>
      </c>
      <c r="C17">
        <v>25.38</v>
      </c>
    </row>
    <row r="18" spans="1:3" x14ac:dyDescent="0.3">
      <c r="A18" s="4" t="s">
        <v>41</v>
      </c>
      <c r="B18">
        <v>20.3</v>
      </c>
      <c r="C18">
        <v>23.39</v>
      </c>
    </row>
    <row r="19" spans="1:3" x14ac:dyDescent="0.3">
      <c r="A19" s="4" t="s">
        <v>24</v>
      </c>
      <c r="B19">
        <v>24.6</v>
      </c>
      <c r="C19">
        <v>21.87</v>
      </c>
    </row>
    <row r="20" spans="1:3" x14ac:dyDescent="0.3">
      <c r="A20" s="4" t="s">
        <v>32</v>
      </c>
      <c r="B20">
        <v>36</v>
      </c>
      <c r="C20">
        <v>23.96</v>
      </c>
    </row>
    <row r="21" spans="1:3" x14ac:dyDescent="0.3">
      <c r="A21" s="4" t="s">
        <v>22</v>
      </c>
      <c r="B21">
        <v>56.2</v>
      </c>
      <c r="C21">
        <v>30.04</v>
      </c>
    </row>
    <row r="22" spans="1:3" x14ac:dyDescent="0.3">
      <c r="A22" s="4" t="s">
        <v>20</v>
      </c>
      <c r="B22">
        <v>94.3</v>
      </c>
      <c r="C22">
        <v>26.36</v>
      </c>
    </row>
    <row r="23" spans="1:3" x14ac:dyDescent="0.3">
      <c r="A23" s="4" t="s">
        <v>72</v>
      </c>
      <c r="B23">
        <v>50.8</v>
      </c>
      <c r="C23">
        <v>32.93</v>
      </c>
    </row>
    <row r="24" spans="1:3" x14ac:dyDescent="0.3">
      <c r="A24" s="4" t="s">
        <v>51</v>
      </c>
      <c r="B24">
        <v>959.99999999999989</v>
      </c>
      <c r="C24">
        <v>547.12999999999988</v>
      </c>
    </row>
  </sheetData>
  <pageMargins left="0.7" right="0.7" top="0.75" bottom="0.75" header="0.3" footer="0.3"/>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430A0-B732-46AE-BD0A-FA90C7EEC136}">
  <sheetPr codeName="Sheet7"/>
  <dimension ref="A3:B24"/>
  <sheetViews>
    <sheetView workbookViewId="0">
      <selection activeCell="D17" sqref="D17"/>
    </sheetView>
  </sheetViews>
  <sheetFormatPr defaultColWidth="8.83203125" defaultRowHeight="14" x14ac:dyDescent="0.3"/>
  <cols>
    <col min="1" max="1" width="14.25" bestFit="1" customWidth="1"/>
    <col min="2" max="2" width="23.4140625" bestFit="1" customWidth="1"/>
    <col min="3" max="3" width="26.6640625" bestFit="1" customWidth="1"/>
  </cols>
  <sheetData>
    <row r="3" spans="1:2" x14ac:dyDescent="0.3">
      <c r="A3" s="3" t="s">
        <v>50</v>
      </c>
      <c r="B3" t="s">
        <v>52</v>
      </c>
    </row>
    <row r="4" spans="1:2" x14ac:dyDescent="0.3">
      <c r="A4" s="4" t="s">
        <v>13</v>
      </c>
      <c r="B4" s="5">
        <v>656500</v>
      </c>
    </row>
    <row r="5" spans="1:2" x14ac:dyDescent="0.3">
      <c r="A5" s="4" t="s">
        <v>15</v>
      </c>
      <c r="B5" s="5">
        <v>677200</v>
      </c>
    </row>
    <row r="6" spans="1:2" x14ac:dyDescent="0.3">
      <c r="A6" s="4" t="s">
        <v>17</v>
      </c>
      <c r="B6" s="5">
        <v>284100</v>
      </c>
    </row>
    <row r="7" spans="1:2" x14ac:dyDescent="0.3">
      <c r="A7" s="4" t="s">
        <v>35</v>
      </c>
      <c r="B7" s="5">
        <v>180200</v>
      </c>
    </row>
    <row r="8" spans="1:2" x14ac:dyDescent="0.3">
      <c r="A8" s="4" t="s">
        <v>0</v>
      </c>
      <c r="B8" s="5">
        <v>97300</v>
      </c>
    </row>
    <row r="9" spans="1:2" x14ac:dyDescent="0.3">
      <c r="A9" s="4" t="s">
        <v>2</v>
      </c>
      <c r="B9" s="5">
        <v>295100</v>
      </c>
    </row>
    <row r="10" spans="1:2" x14ac:dyDescent="0.3">
      <c r="A10" s="4" t="s">
        <v>30</v>
      </c>
      <c r="B10" s="5">
        <v>576000</v>
      </c>
    </row>
    <row r="11" spans="1:2" x14ac:dyDescent="0.3">
      <c r="A11" s="4" t="s">
        <v>38</v>
      </c>
      <c r="B11" s="5">
        <v>247900</v>
      </c>
    </row>
    <row r="12" spans="1:2" x14ac:dyDescent="0.3">
      <c r="A12" s="4" t="s">
        <v>43</v>
      </c>
      <c r="B12" s="5">
        <v>222100</v>
      </c>
    </row>
    <row r="13" spans="1:2" x14ac:dyDescent="0.3">
      <c r="A13" s="4" t="s">
        <v>39</v>
      </c>
      <c r="B13" s="5">
        <v>384000</v>
      </c>
    </row>
    <row r="14" spans="1:2" x14ac:dyDescent="0.3">
      <c r="A14" s="4" t="s">
        <v>26</v>
      </c>
      <c r="B14" s="5">
        <v>348500</v>
      </c>
    </row>
    <row r="15" spans="1:2" x14ac:dyDescent="0.3">
      <c r="A15" s="4" t="s">
        <v>28</v>
      </c>
      <c r="B15" s="5">
        <v>524600</v>
      </c>
    </row>
    <row r="16" spans="1:2" x14ac:dyDescent="0.3">
      <c r="A16" s="4" t="s">
        <v>33</v>
      </c>
      <c r="B16" s="5">
        <v>413200</v>
      </c>
    </row>
    <row r="17" spans="1:2" x14ac:dyDescent="0.3">
      <c r="A17" s="4" t="s">
        <v>37</v>
      </c>
      <c r="B17" s="5">
        <v>369400</v>
      </c>
    </row>
    <row r="18" spans="1:2" x14ac:dyDescent="0.3">
      <c r="A18" s="4" t="s">
        <v>41</v>
      </c>
      <c r="B18" s="5">
        <v>472000</v>
      </c>
    </row>
    <row r="19" spans="1:2" x14ac:dyDescent="0.3">
      <c r="A19" s="4" t="s">
        <v>24</v>
      </c>
      <c r="B19" s="5">
        <v>327100</v>
      </c>
    </row>
    <row r="20" spans="1:2" x14ac:dyDescent="0.3">
      <c r="A20" s="4" t="s">
        <v>32</v>
      </c>
      <c r="B20" s="5">
        <v>38100</v>
      </c>
    </row>
    <row r="21" spans="1:2" x14ac:dyDescent="0.3">
      <c r="A21" s="4" t="s">
        <v>22</v>
      </c>
      <c r="B21" s="5">
        <v>644900</v>
      </c>
    </row>
    <row r="22" spans="1:2" x14ac:dyDescent="0.3">
      <c r="A22" s="4" t="s">
        <v>20</v>
      </c>
      <c r="B22" s="5">
        <v>71600</v>
      </c>
    </row>
    <row r="23" spans="1:2" x14ac:dyDescent="0.3">
      <c r="A23" s="4" t="s">
        <v>72</v>
      </c>
      <c r="B23" s="5">
        <v>205900</v>
      </c>
    </row>
    <row r="24" spans="1:2" x14ac:dyDescent="0.3">
      <c r="A24" s="4" t="s">
        <v>51</v>
      </c>
      <c r="B24">
        <v>7035700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03A015-E3BC-4DA7-8510-535B5BB035B9}">
  <sheetPr codeName="Sheet8"/>
  <dimension ref="A3:B24"/>
  <sheetViews>
    <sheetView topLeftCell="A13" workbookViewId="0">
      <selection activeCell="D17" sqref="D17"/>
    </sheetView>
  </sheetViews>
  <sheetFormatPr defaultColWidth="8.83203125" defaultRowHeight="14" x14ac:dyDescent="0.3"/>
  <cols>
    <col min="1" max="1" width="14.25" bestFit="1" customWidth="1"/>
    <col min="2" max="2" width="27.4140625" bestFit="1" customWidth="1"/>
  </cols>
  <sheetData>
    <row r="3" spans="1:2" x14ac:dyDescent="0.3">
      <c r="A3" s="3" t="s">
        <v>50</v>
      </c>
      <c r="B3" t="s">
        <v>56</v>
      </c>
    </row>
    <row r="4" spans="1:2" x14ac:dyDescent="0.3">
      <c r="A4" s="4" t="s">
        <v>13</v>
      </c>
      <c r="B4">
        <v>554</v>
      </c>
    </row>
    <row r="5" spans="1:2" x14ac:dyDescent="0.3">
      <c r="A5" s="4" t="s">
        <v>15</v>
      </c>
      <c r="B5">
        <v>151</v>
      </c>
    </row>
    <row r="6" spans="1:2" x14ac:dyDescent="0.3">
      <c r="A6" s="4" t="s">
        <v>17</v>
      </c>
      <c r="B6">
        <v>261</v>
      </c>
    </row>
    <row r="7" spans="1:2" x14ac:dyDescent="0.3">
      <c r="A7" s="4" t="s">
        <v>35</v>
      </c>
      <c r="B7">
        <v>372</v>
      </c>
    </row>
    <row r="8" spans="1:2" x14ac:dyDescent="0.3">
      <c r="A8" s="4" t="s">
        <v>0</v>
      </c>
      <c r="B8">
        <v>399</v>
      </c>
    </row>
    <row r="9" spans="1:2" x14ac:dyDescent="0.3">
      <c r="A9" s="4" t="s">
        <v>2</v>
      </c>
      <c r="B9">
        <v>210</v>
      </c>
    </row>
    <row r="10" spans="1:2" x14ac:dyDescent="0.3">
      <c r="A10" s="4" t="s">
        <v>30</v>
      </c>
      <c r="B10">
        <v>368</v>
      </c>
    </row>
    <row r="11" spans="1:2" x14ac:dyDescent="0.3">
      <c r="A11" s="4" t="s">
        <v>38</v>
      </c>
      <c r="B11">
        <v>185</v>
      </c>
    </row>
    <row r="12" spans="1:2" x14ac:dyDescent="0.3">
      <c r="A12" s="4" t="s">
        <v>43</v>
      </c>
      <c r="B12">
        <v>205</v>
      </c>
    </row>
    <row r="13" spans="1:2" x14ac:dyDescent="0.3">
      <c r="A13" s="4" t="s">
        <v>39</v>
      </c>
      <c r="B13">
        <v>154</v>
      </c>
    </row>
    <row r="14" spans="1:2" x14ac:dyDescent="0.3">
      <c r="A14" s="4" t="s">
        <v>26</v>
      </c>
      <c r="B14">
        <v>223</v>
      </c>
    </row>
    <row r="15" spans="1:2" x14ac:dyDescent="0.3">
      <c r="A15" s="4" t="s">
        <v>28</v>
      </c>
      <c r="B15">
        <v>228</v>
      </c>
    </row>
    <row r="16" spans="1:2" x14ac:dyDescent="0.3">
      <c r="A16" s="4" t="s">
        <v>33</v>
      </c>
      <c r="B16">
        <v>347</v>
      </c>
    </row>
    <row r="17" spans="1:2" x14ac:dyDescent="0.3">
      <c r="A17" s="4" t="s">
        <v>37</v>
      </c>
      <c r="B17">
        <v>204</v>
      </c>
    </row>
    <row r="18" spans="1:2" x14ac:dyDescent="0.3">
      <c r="A18" s="4" t="s">
        <v>41</v>
      </c>
      <c r="B18">
        <v>206</v>
      </c>
    </row>
    <row r="19" spans="1:2" x14ac:dyDescent="0.3">
      <c r="A19" s="4" t="s">
        <v>24</v>
      </c>
      <c r="B19">
        <v>374</v>
      </c>
    </row>
    <row r="20" spans="1:2" x14ac:dyDescent="0.3">
      <c r="A20" s="4" t="s">
        <v>32</v>
      </c>
      <c r="B20">
        <v>243</v>
      </c>
    </row>
    <row r="21" spans="1:2" x14ac:dyDescent="0.3">
      <c r="A21" s="4" t="s">
        <v>22</v>
      </c>
      <c r="B21">
        <v>417</v>
      </c>
    </row>
    <row r="22" spans="1:2" x14ac:dyDescent="0.3">
      <c r="A22" s="4" t="s">
        <v>20</v>
      </c>
      <c r="B22">
        <v>187</v>
      </c>
    </row>
    <row r="23" spans="1:2" x14ac:dyDescent="0.3">
      <c r="A23" s="4" t="s">
        <v>72</v>
      </c>
      <c r="B23">
        <v>243</v>
      </c>
    </row>
    <row r="24" spans="1:2" x14ac:dyDescent="0.3">
      <c r="A24" s="4" t="s">
        <v>51</v>
      </c>
      <c r="B24">
        <v>5531</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CE2CC2-419F-4FEA-9BAB-CDB0082CAC54}">
  <sheetPr codeName="Sheet9"/>
  <dimension ref="A3:E21"/>
  <sheetViews>
    <sheetView workbookViewId="0">
      <selection activeCell="D17" sqref="D17"/>
    </sheetView>
  </sheetViews>
  <sheetFormatPr defaultColWidth="8.83203125" defaultRowHeight="14" x14ac:dyDescent="0.3"/>
  <cols>
    <col min="1" max="1" width="14.6640625" bestFit="1" customWidth="1"/>
    <col min="2" max="2" width="18.83203125" bestFit="1" customWidth="1"/>
  </cols>
  <sheetData>
    <row r="3" spans="1:5" x14ac:dyDescent="0.3">
      <c r="A3" s="3" t="s">
        <v>50</v>
      </c>
      <c r="B3" t="s">
        <v>58</v>
      </c>
    </row>
    <row r="4" spans="1:5" x14ac:dyDescent="0.3">
      <c r="A4" s="4" t="s">
        <v>15</v>
      </c>
      <c r="B4" s="1">
        <v>0.10100000000000001</v>
      </c>
      <c r="D4" s="4" t="s">
        <v>15</v>
      </c>
      <c r="E4" s="1">
        <v>0.10100000000000001</v>
      </c>
    </row>
    <row r="5" spans="1:5" x14ac:dyDescent="0.3">
      <c r="A5" s="4" t="s">
        <v>31</v>
      </c>
      <c r="B5" s="1">
        <v>4.8000000000000001E-2</v>
      </c>
      <c r="D5" s="4" t="s">
        <v>31</v>
      </c>
      <c r="E5" s="1">
        <v>4.8000000000000001E-2</v>
      </c>
    </row>
    <row r="6" spans="1:5" x14ac:dyDescent="0.3">
      <c r="A6" s="4" t="s">
        <v>29</v>
      </c>
      <c r="B6" s="1">
        <v>0</v>
      </c>
      <c r="D6" s="4" t="s">
        <v>20</v>
      </c>
      <c r="E6" s="1">
        <v>6.8000000000000005E-2</v>
      </c>
    </row>
    <row r="7" spans="1:5" x14ac:dyDescent="0.3">
      <c r="A7" s="4" t="s">
        <v>19</v>
      </c>
      <c r="B7" s="1">
        <v>0.05</v>
      </c>
      <c r="D7" s="4" t="s">
        <v>29</v>
      </c>
      <c r="E7" s="1">
        <v>0</v>
      </c>
    </row>
    <row r="8" spans="1:5" x14ac:dyDescent="0.3">
      <c r="A8" s="4" t="s">
        <v>36</v>
      </c>
      <c r="B8" s="1">
        <v>0.11</v>
      </c>
      <c r="D8" s="4" t="s">
        <v>19</v>
      </c>
      <c r="E8" s="1">
        <v>0.05</v>
      </c>
    </row>
    <row r="9" spans="1:5" x14ac:dyDescent="0.3">
      <c r="A9" s="4" t="s">
        <v>44</v>
      </c>
      <c r="B9" s="1">
        <v>6.4000000000000001E-2</v>
      </c>
      <c r="D9" s="4" t="s">
        <v>14</v>
      </c>
      <c r="E9" s="1">
        <v>5.0999999999999997E-2</v>
      </c>
    </row>
    <row r="10" spans="1:5" x14ac:dyDescent="0.3">
      <c r="A10" s="4" t="s">
        <v>40</v>
      </c>
      <c r="B10" s="1">
        <v>0</v>
      </c>
      <c r="D10" s="4" t="s">
        <v>36</v>
      </c>
      <c r="E10" s="1">
        <v>0.11</v>
      </c>
    </row>
    <row r="11" spans="1:5" x14ac:dyDescent="0.3">
      <c r="A11" s="4" t="s">
        <v>27</v>
      </c>
      <c r="B11" s="1">
        <v>0</v>
      </c>
      <c r="D11" s="4" t="s">
        <v>44</v>
      </c>
      <c r="E11" s="1">
        <v>6.4000000000000001E-2</v>
      </c>
    </row>
    <row r="12" spans="1:5" x14ac:dyDescent="0.3">
      <c r="A12" s="4" t="s">
        <v>42</v>
      </c>
      <c r="B12" s="1">
        <v>5.2999999999999999E-2</v>
      </c>
      <c r="D12" s="4" t="s">
        <v>40</v>
      </c>
      <c r="E12" s="1">
        <v>0</v>
      </c>
    </row>
    <row r="13" spans="1:5" x14ac:dyDescent="0.3">
      <c r="A13" s="4" t="s">
        <v>1</v>
      </c>
      <c r="B13" s="1">
        <v>5.5E-2</v>
      </c>
      <c r="D13" s="4" t="s">
        <v>27</v>
      </c>
      <c r="E13" s="1">
        <v>0</v>
      </c>
    </row>
    <row r="14" spans="1:5" x14ac:dyDescent="0.3">
      <c r="A14" s="4" t="s">
        <v>18</v>
      </c>
      <c r="B14" s="1">
        <v>7.0000000000000007E-2</v>
      </c>
      <c r="D14" s="4" t="s">
        <v>42</v>
      </c>
      <c r="E14" s="1">
        <v>5.2999999999999999E-2</v>
      </c>
    </row>
    <row r="15" spans="1:5" x14ac:dyDescent="0.3">
      <c r="A15" s="4" t="s">
        <v>34</v>
      </c>
      <c r="B15" s="1">
        <v>0</v>
      </c>
      <c r="D15" s="4" t="s">
        <v>1</v>
      </c>
      <c r="E15" s="1">
        <v>5.5E-2</v>
      </c>
    </row>
    <row r="16" spans="1:5" x14ac:dyDescent="0.3">
      <c r="A16" s="4" t="s">
        <v>4</v>
      </c>
      <c r="B16" s="1">
        <v>0</v>
      </c>
      <c r="D16" s="4" t="s">
        <v>18</v>
      </c>
      <c r="E16" s="1">
        <v>7.0000000000000007E-2</v>
      </c>
    </row>
    <row r="17" spans="1:5" x14ac:dyDescent="0.3">
      <c r="A17" s="4" t="s">
        <v>25</v>
      </c>
      <c r="B17" s="1">
        <v>5.7999999999999996E-2</v>
      </c>
      <c r="D17" s="4" t="s">
        <v>34</v>
      </c>
      <c r="E17" s="1">
        <v>0</v>
      </c>
    </row>
    <row r="18" spans="1:5" x14ac:dyDescent="0.3">
      <c r="A18" s="4" t="s">
        <v>23</v>
      </c>
      <c r="B18" s="1">
        <v>6.5000000000000002E-2</v>
      </c>
      <c r="D18" s="4" t="s">
        <v>4</v>
      </c>
      <c r="E18" s="1">
        <v>0</v>
      </c>
    </row>
    <row r="19" spans="1:5" x14ac:dyDescent="0.3">
      <c r="A19" s="4" t="s">
        <v>59</v>
      </c>
      <c r="B19" s="1">
        <v>5.0999999999999997E-2</v>
      </c>
      <c r="D19" s="4" t="s">
        <v>25</v>
      </c>
      <c r="E19" s="1">
        <v>5.7999999999999996E-2</v>
      </c>
    </row>
    <row r="20" spans="1:5" x14ac:dyDescent="0.3">
      <c r="A20" s="4" t="s">
        <v>21</v>
      </c>
      <c r="B20" s="1">
        <v>6.8000000000000005E-2</v>
      </c>
      <c r="D20" s="4" t="s">
        <v>23</v>
      </c>
      <c r="E20" s="1">
        <v>6.5000000000000002E-2</v>
      </c>
    </row>
    <row r="21" spans="1:5" x14ac:dyDescent="0.3">
      <c r="A21" s="4" t="s">
        <v>51</v>
      </c>
      <c r="B21" s="1">
        <v>0.79299999999999993</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3A9CA5-9BF3-4300-8C57-7084236A0130}">
  <sheetPr codeName="Sheet10"/>
  <dimension ref="A3:B24"/>
  <sheetViews>
    <sheetView workbookViewId="0">
      <selection activeCell="O6" sqref="O6"/>
    </sheetView>
  </sheetViews>
  <sheetFormatPr defaultColWidth="8.83203125" defaultRowHeight="14" x14ac:dyDescent="0.3"/>
  <cols>
    <col min="1" max="1" width="14.25" bestFit="1" customWidth="1"/>
    <col min="2" max="2" width="27.75" bestFit="1" customWidth="1"/>
  </cols>
  <sheetData>
    <row r="3" spans="1:2" x14ac:dyDescent="0.3">
      <c r="A3" s="3" t="s">
        <v>50</v>
      </c>
      <c r="B3" t="s">
        <v>53</v>
      </c>
    </row>
    <row r="4" spans="1:2" x14ac:dyDescent="0.3">
      <c r="A4" s="4" t="s">
        <v>13</v>
      </c>
      <c r="B4" s="1">
        <v>6.2E-2</v>
      </c>
    </row>
    <row r="5" spans="1:2" x14ac:dyDescent="0.3">
      <c r="A5" s="4" t="s">
        <v>15</v>
      </c>
      <c r="B5" s="1">
        <v>0.112</v>
      </c>
    </row>
    <row r="6" spans="1:2" x14ac:dyDescent="0.3">
      <c r="A6" s="4" t="s">
        <v>17</v>
      </c>
      <c r="B6" s="1">
        <v>0.09</v>
      </c>
    </row>
    <row r="7" spans="1:2" x14ac:dyDescent="0.3">
      <c r="A7" s="4" t="s">
        <v>35</v>
      </c>
      <c r="B7" s="1">
        <v>7.9000000000000001E-2</v>
      </c>
    </row>
    <row r="8" spans="1:2" x14ac:dyDescent="0.3">
      <c r="A8" s="4" t="s">
        <v>0</v>
      </c>
      <c r="B8" s="1">
        <v>6.8000000000000005E-2</v>
      </c>
    </row>
    <row r="9" spans="1:2" x14ac:dyDescent="0.3">
      <c r="A9" s="4" t="s">
        <v>2</v>
      </c>
      <c r="B9" s="1">
        <v>7.3999999999999996E-2</v>
      </c>
    </row>
    <row r="10" spans="1:2" x14ac:dyDescent="0.3">
      <c r="A10" s="4" t="s">
        <v>30</v>
      </c>
      <c r="B10" s="1">
        <v>7.0999999999999994E-2</v>
      </c>
    </row>
    <row r="11" spans="1:2" x14ac:dyDescent="0.3">
      <c r="A11" s="4" t="s">
        <v>38</v>
      </c>
      <c r="B11" s="1">
        <v>0.08</v>
      </c>
    </row>
    <row r="12" spans="1:2" x14ac:dyDescent="0.3">
      <c r="A12" s="4" t="s">
        <v>43</v>
      </c>
      <c r="B12" s="1">
        <v>5.2999999999999999E-2</v>
      </c>
    </row>
    <row r="13" spans="1:2" x14ac:dyDescent="0.3">
      <c r="A13" s="4" t="s">
        <v>39</v>
      </c>
      <c r="B13" s="1">
        <v>8.900000000000001E-2</v>
      </c>
    </row>
    <row r="14" spans="1:2" x14ac:dyDescent="0.3">
      <c r="A14" s="4" t="s">
        <v>26</v>
      </c>
      <c r="B14" s="1">
        <v>3.7999999999999999E-2</v>
      </c>
    </row>
    <row r="15" spans="1:2" x14ac:dyDescent="0.3">
      <c r="A15" s="4" t="s">
        <v>28</v>
      </c>
      <c r="B15" s="1">
        <v>8.3000000000000004E-2</v>
      </c>
    </row>
    <row r="16" spans="1:2" x14ac:dyDescent="0.3">
      <c r="A16" s="4" t="s">
        <v>33</v>
      </c>
      <c r="B16" s="1">
        <v>4.4999999999999998E-2</v>
      </c>
    </row>
    <row r="17" spans="1:2" x14ac:dyDescent="0.3">
      <c r="A17" s="4" t="s">
        <v>37</v>
      </c>
      <c r="B17" s="1">
        <v>5.7999999999999996E-2</v>
      </c>
    </row>
    <row r="18" spans="1:2" x14ac:dyDescent="0.3">
      <c r="A18" s="4" t="s">
        <v>41</v>
      </c>
      <c r="B18" s="1">
        <v>4.2999999999999997E-2</v>
      </c>
    </row>
    <row r="19" spans="1:2" x14ac:dyDescent="0.3">
      <c r="A19" s="4" t="s">
        <v>24</v>
      </c>
      <c r="B19" s="1">
        <v>7.0999999999999994E-2</v>
      </c>
    </row>
    <row r="20" spans="1:2" x14ac:dyDescent="0.3">
      <c r="A20" s="4" t="s">
        <v>32</v>
      </c>
      <c r="B20" s="1">
        <v>0.05</v>
      </c>
    </row>
    <row r="21" spans="1:2" x14ac:dyDescent="0.3">
      <c r="A21" s="4" t="s">
        <v>22</v>
      </c>
      <c r="B21" s="1">
        <v>7.0000000000000007E-2</v>
      </c>
    </row>
    <row r="22" spans="1:2" x14ac:dyDescent="0.3">
      <c r="A22" s="4" t="s">
        <v>20</v>
      </c>
      <c r="B22" s="1">
        <v>9.6000000000000002E-2</v>
      </c>
    </row>
    <row r="23" spans="1:2" x14ac:dyDescent="0.3">
      <c r="A23" s="4" t="s">
        <v>72</v>
      </c>
      <c r="B23" s="1">
        <v>0.106</v>
      </c>
    </row>
    <row r="24" spans="1:2" x14ac:dyDescent="0.3">
      <c r="A24" s="4" t="s">
        <v>51</v>
      </c>
      <c r="B24" s="1">
        <v>1.4380000000000002</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DF0AD5-5BA2-47F3-B969-CC3A45FBAC3D}">
  <sheetPr codeName="Sheet12"/>
  <dimension ref="A1:M22"/>
  <sheetViews>
    <sheetView zoomScale="103" workbookViewId="0">
      <pane ySplit="1" topLeftCell="A2" activePane="bottomLeft" state="frozen"/>
      <selection activeCell="O6" sqref="O6"/>
      <selection pane="bottomLeft" activeCell="O6" sqref="O6"/>
    </sheetView>
  </sheetViews>
  <sheetFormatPr defaultColWidth="8.83203125" defaultRowHeight="14" x14ac:dyDescent="0.3"/>
  <cols>
    <col min="1" max="1" width="13.83203125" bestFit="1" customWidth="1"/>
    <col min="2" max="2" width="13.6640625" customWidth="1"/>
    <col min="3" max="3" width="13.5" bestFit="1" customWidth="1"/>
    <col min="4" max="4" width="17.6640625" bestFit="1" customWidth="1"/>
    <col min="5" max="5" width="22.6640625" bestFit="1" customWidth="1"/>
    <col min="6" max="6" width="18.1640625" bestFit="1" customWidth="1"/>
    <col min="7" max="7" width="10.33203125" bestFit="1" customWidth="1"/>
    <col min="8" max="8" width="14.33203125" bestFit="1" customWidth="1"/>
    <col min="9" max="9" width="22.1640625" bestFit="1" customWidth="1"/>
    <col min="10" max="10" width="21.6640625" bestFit="1" customWidth="1"/>
    <col min="11" max="11" width="32.83203125" bestFit="1" customWidth="1"/>
    <col min="12" max="12" width="14" bestFit="1" customWidth="1"/>
    <col min="13" max="13" width="21.33203125" bestFit="1" customWidth="1"/>
  </cols>
  <sheetData>
    <row r="1" spans="1:13" s="2" customFormat="1" x14ac:dyDescent="0.3">
      <c r="A1" s="2" t="s">
        <v>12</v>
      </c>
      <c r="B1" s="2" t="s">
        <v>3</v>
      </c>
      <c r="C1" s="2" t="s">
        <v>5</v>
      </c>
      <c r="D1" s="2" t="s">
        <v>6</v>
      </c>
      <c r="E1" s="2" t="s">
        <v>8</v>
      </c>
      <c r="F1" s="2" t="s">
        <v>7</v>
      </c>
      <c r="G1" s="2" t="s">
        <v>10</v>
      </c>
      <c r="H1" s="2" t="s">
        <v>9</v>
      </c>
      <c r="I1" s="2" t="s">
        <v>11</v>
      </c>
      <c r="J1" s="2" t="s">
        <v>45</v>
      </c>
      <c r="K1" s="2" t="s">
        <v>48</v>
      </c>
      <c r="L1" s="2" t="s">
        <v>46</v>
      </c>
      <c r="M1" s="2" t="s">
        <v>47</v>
      </c>
    </row>
    <row r="2" spans="1:13" x14ac:dyDescent="0.3">
      <c r="A2" s="7" t="s">
        <v>0</v>
      </c>
      <c r="B2" s="7" t="s">
        <v>1</v>
      </c>
      <c r="C2" s="7">
        <v>374861</v>
      </c>
      <c r="D2" s="7">
        <v>33678</v>
      </c>
      <c r="E2" s="8">
        <v>6.8000000000000005E-2</v>
      </c>
      <c r="F2" s="7">
        <v>97300</v>
      </c>
      <c r="G2" s="7">
        <v>6.8</v>
      </c>
      <c r="H2" s="7">
        <v>72.5</v>
      </c>
      <c r="I2" s="7">
        <v>399</v>
      </c>
      <c r="J2" s="7">
        <v>24.14</v>
      </c>
      <c r="K2" s="7">
        <v>15425</v>
      </c>
      <c r="L2" s="8">
        <v>5.5E-2</v>
      </c>
      <c r="M2" s="8">
        <v>0.214</v>
      </c>
    </row>
    <row r="3" spans="1:13" x14ac:dyDescent="0.3">
      <c r="A3" s="7" t="s">
        <v>2</v>
      </c>
      <c r="B3" s="7" t="s">
        <v>4</v>
      </c>
      <c r="C3" s="7">
        <v>1300239</v>
      </c>
      <c r="D3" s="7">
        <v>58231</v>
      </c>
      <c r="E3" s="8">
        <v>7.3999999999999996E-2</v>
      </c>
      <c r="F3" s="7">
        <v>295100</v>
      </c>
      <c r="G3" s="7">
        <v>7.1</v>
      </c>
      <c r="H3" s="7">
        <v>37</v>
      </c>
      <c r="I3" s="7">
        <v>210</v>
      </c>
      <c r="J3" s="7">
        <v>26.78</v>
      </c>
      <c r="K3" s="7">
        <v>10291</v>
      </c>
      <c r="L3" s="8">
        <v>0</v>
      </c>
      <c r="M3" s="8">
        <v>0.45100000000000001</v>
      </c>
    </row>
    <row r="4" spans="1:13" x14ac:dyDescent="0.3">
      <c r="A4" s="7" t="s">
        <v>13</v>
      </c>
      <c r="B4" s="7" t="s">
        <v>59</v>
      </c>
      <c r="C4" s="7">
        <v>672814</v>
      </c>
      <c r="D4" s="7">
        <v>81744</v>
      </c>
      <c r="E4" s="8">
        <v>6.2E-2</v>
      </c>
      <c r="F4" s="7">
        <v>656500</v>
      </c>
      <c r="G4" s="7">
        <v>6.9</v>
      </c>
      <c r="H4" s="7">
        <v>37.299999999999997</v>
      </c>
      <c r="I4" s="7">
        <v>554</v>
      </c>
      <c r="J4" s="7">
        <v>30.44</v>
      </c>
      <c r="K4" s="7">
        <v>23918</v>
      </c>
      <c r="L4" s="8">
        <v>5.0999999999999997E-2</v>
      </c>
      <c r="M4" s="8">
        <v>0.42499999999999999</v>
      </c>
    </row>
    <row r="5" spans="1:13" x14ac:dyDescent="0.3">
      <c r="A5" s="7" t="s">
        <v>15</v>
      </c>
      <c r="B5" s="7" t="s">
        <v>15</v>
      </c>
      <c r="C5" s="7">
        <v>8736047</v>
      </c>
      <c r="D5" s="7">
        <v>70663</v>
      </c>
      <c r="E5" s="8">
        <v>0.112</v>
      </c>
      <c r="F5" s="7">
        <v>677200</v>
      </c>
      <c r="G5" s="7">
        <v>7.3</v>
      </c>
      <c r="H5" s="7">
        <v>28.2</v>
      </c>
      <c r="I5" s="7">
        <v>151</v>
      </c>
      <c r="J5" s="7">
        <v>40.78</v>
      </c>
      <c r="K5" s="7">
        <v>18855</v>
      </c>
      <c r="L5" s="8">
        <v>0.10100000000000001</v>
      </c>
      <c r="M5" s="8">
        <v>0.307</v>
      </c>
    </row>
    <row r="6" spans="1:13" x14ac:dyDescent="0.3">
      <c r="A6" s="7" t="s">
        <v>72</v>
      </c>
      <c r="B6" s="7" t="s">
        <v>18</v>
      </c>
      <c r="C6" s="7">
        <v>1596865</v>
      </c>
      <c r="D6" s="7">
        <v>52649</v>
      </c>
      <c r="E6" s="8">
        <v>0.106</v>
      </c>
      <c r="F6" s="7">
        <v>205900</v>
      </c>
      <c r="G6" s="7">
        <v>7.3</v>
      </c>
      <c r="H6" s="7">
        <v>50.8</v>
      </c>
      <c r="I6" s="7">
        <v>243</v>
      </c>
      <c r="J6" s="7">
        <v>32.93</v>
      </c>
      <c r="K6" s="7">
        <v>14192</v>
      </c>
      <c r="L6" s="8">
        <v>7.0000000000000007E-2</v>
      </c>
      <c r="M6" s="8">
        <v>0.28399999999999997</v>
      </c>
    </row>
    <row r="7" spans="1:13" x14ac:dyDescent="0.3">
      <c r="A7" s="7" t="s">
        <v>17</v>
      </c>
      <c r="B7" s="7" t="s">
        <v>19</v>
      </c>
      <c r="C7" s="7">
        <v>2742119</v>
      </c>
      <c r="D7" s="7">
        <v>65781</v>
      </c>
      <c r="E7" s="8">
        <v>0.09</v>
      </c>
      <c r="F7" s="7">
        <v>284100</v>
      </c>
      <c r="G7" s="7">
        <v>7</v>
      </c>
      <c r="H7" s="7">
        <v>49.9</v>
      </c>
      <c r="I7" s="7">
        <v>261</v>
      </c>
      <c r="J7" s="7">
        <v>34.630000000000003</v>
      </c>
      <c r="K7" s="7">
        <v>18508</v>
      </c>
      <c r="L7" s="8">
        <v>0.05</v>
      </c>
      <c r="M7" s="8">
        <v>0.25700000000000001</v>
      </c>
    </row>
    <row r="8" spans="1:13" x14ac:dyDescent="0.3">
      <c r="A8" s="7" t="s">
        <v>20</v>
      </c>
      <c r="B8" s="7" t="s">
        <v>21</v>
      </c>
      <c r="C8" s="7">
        <v>645658</v>
      </c>
      <c r="D8" s="7">
        <v>34762</v>
      </c>
      <c r="E8" s="8">
        <v>9.6000000000000002E-2</v>
      </c>
      <c r="F8" s="7">
        <v>71600</v>
      </c>
      <c r="G8" s="7">
        <v>6.9</v>
      </c>
      <c r="H8" s="7">
        <v>94.3</v>
      </c>
      <c r="I8" s="7">
        <v>187</v>
      </c>
      <c r="J8" s="7">
        <v>26.36</v>
      </c>
      <c r="K8" s="7">
        <v>12521</v>
      </c>
      <c r="L8" s="8">
        <v>6.8000000000000005E-2</v>
      </c>
      <c r="M8" s="8">
        <v>0.29299999999999998</v>
      </c>
    </row>
    <row r="9" spans="1:13" x14ac:dyDescent="0.3">
      <c r="A9" s="7" t="s">
        <v>22</v>
      </c>
      <c r="B9" s="7" t="s">
        <v>23</v>
      </c>
      <c r="C9" s="7">
        <v>683154</v>
      </c>
      <c r="D9" s="7">
        <v>93547</v>
      </c>
      <c r="E9" s="8">
        <v>7.0000000000000007E-2</v>
      </c>
      <c r="F9" s="7">
        <v>644900</v>
      </c>
      <c r="G9" s="7">
        <v>7.3</v>
      </c>
      <c r="H9" s="7">
        <v>56.2</v>
      </c>
      <c r="I9" s="7">
        <v>417</v>
      </c>
      <c r="J9" s="7">
        <v>30.04</v>
      </c>
      <c r="K9" s="7">
        <v>23069</v>
      </c>
      <c r="L9" s="8">
        <v>6.5000000000000002E-2</v>
      </c>
      <c r="M9" s="8">
        <v>0.33700000000000002</v>
      </c>
    </row>
    <row r="10" spans="1:13" x14ac:dyDescent="0.3">
      <c r="A10" s="7" t="s">
        <v>26</v>
      </c>
      <c r="B10" s="7" t="s">
        <v>27</v>
      </c>
      <c r="C10" s="7">
        <v>114730</v>
      </c>
      <c r="D10" s="7">
        <v>66929</v>
      </c>
      <c r="E10" s="8">
        <v>3.7999999999999999E-2</v>
      </c>
      <c r="F10" s="7">
        <v>348500</v>
      </c>
      <c r="G10" s="7">
        <v>6.8</v>
      </c>
      <c r="H10" s="7">
        <v>34.799999999999997</v>
      </c>
      <c r="I10" s="7">
        <v>223</v>
      </c>
      <c r="J10" s="7">
        <v>23.34</v>
      </c>
      <c r="K10" s="7">
        <v>15747</v>
      </c>
      <c r="L10" s="8">
        <v>0</v>
      </c>
      <c r="M10" s="8">
        <v>0.33200000000000002</v>
      </c>
    </row>
    <row r="11" spans="1:13" x14ac:dyDescent="0.3">
      <c r="A11" s="7" t="s">
        <v>24</v>
      </c>
      <c r="B11" s="7" t="s">
        <v>25</v>
      </c>
      <c r="C11" s="7">
        <v>225676</v>
      </c>
      <c r="D11" s="7">
        <v>54795</v>
      </c>
      <c r="E11" s="8">
        <v>7.0999999999999994E-2</v>
      </c>
      <c r="F11" s="7">
        <v>327100</v>
      </c>
      <c r="G11" s="7">
        <v>7.3</v>
      </c>
      <c r="H11" s="7">
        <v>24.6</v>
      </c>
      <c r="I11" s="7">
        <v>374</v>
      </c>
      <c r="J11" s="7">
        <v>21.87</v>
      </c>
      <c r="K11" s="7">
        <v>14373</v>
      </c>
      <c r="L11" s="8">
        <v>5.7999999999999996E-2</v>
      </c>
      <c r="M11" s="8">
        <v>0.371</v>
      </c>
    </row>
    <row r="12" spans="1:13" x14ac:dyDescent="0.3">
      <c r="A12" s="7" t="s">
        <v>28</v>
      </c>
      <c r="B12" s="7" t="s">
        <v>29</v>
      </c>
      <c r="C12" s="7">
        <v>440807</v>
      </c>
      <c r="D12" s="7">
        <v>47860</v>
      </c>
      <c r="E12" s="8">
        <v>8.3000000000000004E-2</v>
      </c>
      <c r="F12" s="7">
        <v>524600</v>
      </c>
      <c r="G12" s="7">
        <v>6.4</v>
      </c>
      <c r="H12" s="7">
        <v>48.8</v>
      </c>
      <c r="I12" s="7">
        <v>228</v>
      </c>
      <c r="J12" s="7">
        <v>28.3</v>
      </c>
      <c r="K12" s="7">
        <v>10524</v>
      </c>
      <c r="L12" s="8">
        <v>0</v>
      </c>
      <c r="M12" s="8">
        <v>0.42700000000000005</v>
      </c>
    </row>
    <row r="13" spans="1:13" x14ac:dyDescent="0.3">
      <c r="A13" s="7" t="s">
        <v>30</v>
      </c>
      <c r="B13" s="7" t="s">
        <v>31</v>
      </c>
      <c r="C13" s="7">
        <v>706799</v>
      </c>
      <c r="D13" s="7">
        <v>78177</v>
      </c>
      <c r="E13" s="8">
        <v>7.0999999999999994E-2</v>
      </c>
      <c r="F13" s="7">
        <v>576000</v>
      </c>
      <c r="G13" s="7">
        <v>7.3</v>
      </c>
      <c r="H13" s="7">
        <v>30.7</v>
      </c>
      <c r="I13" s="7">
        <v>368</v>
      </c>
      <c r="J13" s="7">
        <v>25.32</v>
      </c>
      <c r="K13" s="7">
        <v>12519</v>
      </c>
      <c r="L13" s="8">
        <v>4.8000000000000001E-2</v>
      </c>
      <c r="M13" s="8">
        <v>0.45</v>
      </c>
    </row>
    <row r="14" spans="1:13" x14ac:dyDescent="0.3">
      <c r="A14" s="7" t="s">
        <v>32</v>
      </c>
      <c r="B14" s="7" t="s">
        <v>29</v>
      </c>
      <c r="C14" s="7">
        <v>380447</v>
      </c>
      <c r="D14" s="7">
        <v>59893</v>
      </c>
      <c r="E14" s="8">
        <v>0.05</v>
      </c>
      <c r="F14" s="7">
        <v>38100</v>
      </c>
      <c r="G14" s="7">
        <v>6.8</v>
      </c>
      <c r="H14" s="7">
        <v>36</v>
      </c>
      <c r="I14" s="7">
        <v>243</v>
      </c>
      <c r="J14" s="7">
        <v>23.96</v>
      </c>
      <c r="K14" s="7">
        <v>9438</v>
      </c>
      <c r="L14" s="8">
        <v>0</v>
      </c>
      <c r="M14" s="8">
        <v>0.42700000000000005</v>
      </c>
    </row>
    <row r="15" spans="1:13" x14ac:dyDescent="0.3">
      <c r="A15" s="7" t="s">
        <v>33</v>
      </c>
      <c r="B15" s="7" t="s">
        <v>34</v>
      </c>
      <c r="C15" s="7">
        <v>682646</v>
      </c>
      <c r="D15" s="7">
        <v>65565</v>
      </c>
      <c r="E15" s="8">
        <v>4.4999999999999998E-2</v>
      </c>
      <c r="F15" s="7">
        <v>413200</v>
      </c>
      <c r="G15" s="7">
        <v>7.3</v>
      </c>
      <c r="H15" s="7">
        <v>54.6</v>
      </c>
      <c r="I15" s="7">
        <v>347</v>
      </c>
      <c r="J15" s="7">
        <v>24.62</v>
      </c>
      <c r="K15" s="7">
        <v>11966</v>
      </c>
      <c r="L15" s="8">
        <v>0</v>
      </c>
      <c r="M15" s="8">
        <v>0.48299999999999998</v>
      </c>
    </row>
    <row r="16" spans="1:13" x14ac:dyDescent="0.3">
      <c r="A16" s="7" t="s">
        <v>35</v>
      </c>
      <c r="B16" s="7" t="s">
        <v>36</v>
      </c>
      <c r="C16" s="7">
        <v>592211</v>
      </c>
      <c r="D16" s="7">
        <v>54124</v>
      </c>
      <c r="E16" s="8">
        <v>7.9000000000000001E-2</v>
      </c>
      <c r="F16" s="7">
        <v>180200</v>
      </c>
      <c r="G16" s="7">
        <v>7.3</v>
      </c>
      <c r="H16" s="7">
        <v>77.8</v>
      </c>
      <c r="I16" s="7">
        <v>372</v>
      </c>
      <c r="J16" s="7">
        <v>30.66</v>
      </c>
      <c r="K16" s="7">
        <v>16085</v>
      </c>
      <c r="L16" s="8">
        <v>0.11</v>
      </c>
      <c r="M16" s="8">
        <v>0.251</v>
      </c>
    </row>
    <row r="17" spans="1:13" x14ac:dyDescent="0.3">
      <c r="A17" s="7" t="s">
        <v>37</v>
      </c>
      <c r="B17" s="7" t="s">
        <v>29</v>
      </c>
      <c r="C17" s="7">
        <v>302968</v>
      </c>
      <c r="D17" s="7">
        <v>58968</v>
      </c>
      <c r="E17" s="8">
        <v>5.7999999999999996E-2</v>
      </c>
      <c r="F17" s="7">
        <v>369400</v>
      </c>
      <c r="G17" s="7">
        <v>6.7</v>
      </c>
      <c r="H17" s="7">
        <v>44.1</v>
      </c>
      <c r="I17" s="7">
        <v>204</v>
      </c>
      <c r="J17" s="7">
        <v>25.38</v>
      </c>
      <c r="K17" s="7">
        <v>10437</v>
      </c>
      <c r="L17" s="8">
        <v>0</v>
      </c>
      <c r="M17" s="8">
        <v>0.51</v>
      </c>
    </row>
    <row r="18" spans="1:13" x14ac:dyDescent="0.3">
      <c r="A18" s="7" t="s">
        <v>38</v>
      </c>
      <c r="B18" s="7" t="s">
        <v>4</v>
      </c>
      <c r="C18" s="7">
        <v>2293288</v>
      </c>
      <c r="D18" s="7">
        <v>56019</v>
      </c>
      <c r="E18" s="8">
        <v>0.08</v>
      </c>
      <c r="F18" s="7">
        <v>247900</v>
      </c>
      <c r="G18" s="7">
        <v>6.6</v>
      </c>
      <c r="H18" s="7">
        <v>50.4</v>
      </c>
      <c r="I18" s="7">
        <v>185</v>
      </c>
      <c r="J18" s="7">
        <v>27</v>
      </c>
      <c r="K18" s="7">
        <v>10139</v>
      </c>
      <c r="L18" s="8">
        <v>0</v>
      </c>
      <c r="M18" s="8">
        <v>0.309</v>
      </c>
    </row>
    <row r="19" spans="1:13" x14ac:dyDescent="0.3">
      <c r="A19" s="7" t="s">
        <v>39</v>
      </c>
      <c r="B19" s="7" t="s">
        <v>40</v>
      </c>
      <c r="C19" s="7">
        <v>634786</v>
      </c>
      <c r="D19" s="7">
        <v>61356</v>
      </c>
      <c r="E19" s="8">
        <v>8.900000000000001E-2</v>
      </c>
      <c r="F19" s="7">
        <v>384000</v>
      </c>
      <c r="G19" s="7">
        <v>7.4</v>
      </c>
      <c r="H19" s="7">
        <v>40.9</v>
      </c>
      <c r="I19" s="7">
        <v>154</v>
      </c>
      <c r="J19" s="7">
        <v>25.43</v>
      </c>
      <c r="K19" s="7">
        <v>9498</v>
      </c>
      <c r="L19" s="8">
        <v>0</v>
      </c>
      <c r="M19" s="8">
        <v>0.39</v>
      </c>
    </row>
    <row r="20" spans="1:13" x14ac:dyDescent="0.3">
      <c r="A20" s="7" t="s">
        <v>41</v>
      </c>
      <c r="B20" s="7" t="s">
        <v>42</v>
      </c>
      <c r="C20" s="7">
        <v>462219</v>
      </c>
      <c r="D20" s="7">
        <v>72996</v>
      </c>
      <c r="E20" s="8">
        <v>4.2999999999999997E-2</v>
      </c>
      <c r="F20" s="7">
        <v>472000</v>
      </c>
      <c r="G20" s="7">
        <v>7.5</v>
      </c>
      <c r="H20" s="7">
        <v>20.3</v>
      </c>
      <c r="I20" s="7">
        <v>206</v>
      </c>
      <c r="J20" s="7">
        <v>23.39</v>
      </c>
      <c r="K20" s="7">
        <v>9531</v>
      </c>
      <c r="L20" s="8">
        <v>5.2999999999999999E-2</v>
      </c>
      <c r="M20" s="8">
        <v>0.442</v>
      </c>
    </row>
    <row r="21" spans="1:13" x14ac:dyDescent="0.3">
      <c r="A21" s="7" t="s">
        <v>43</v>
      </c>
      <c r="B21" s="7" t="s">
        <v>44</v>
      </c>
      <c r="C21" s="7">
        <v>502597</v>
      </c>
      <c r="D21" s="7">
        <v>60042</v>
      </c>
      <c r="E21" s="8">
        <v>5.2999999999999999E-2</v>
      </c>
      <c r="F21" s="7">
        <v>222100</v>
      </c>
      <c r="G21" s="7">
        <v>7.2</v>
      </c>
      <c r="H21" s="7">
        <v>70.8</v>
      </c>
      <c r="I21" s="7">
        <v>205</v>
      </c>
      <c r="J21" s="7">
        <v>21.76</v>
      </c>
      <c r="K21" s="7">
        <v>12022</v>
      </c>
      <c r="L21" s="8">
        <v>6.4000000000000001E-2</v>
      </c>
      <c r="M21" s="8">
        <v>0.44500000000000001</v>
      </c>
    </row>
    <row r="22" spans="1:13" s="9" customFormat="1" x14ac:dyDescent="0.3">
      <c r="A22" s="9" t="s">
        <v>49</v>
      </c>
      <c r="C22" s="9">
        <v>329725481</v>
      </c>
      <c r="D22" s="9">
        <v>69021</v>
      </c>
      <c r="E22" s="10">
        <v>0.06</v>
      </c>
      <c r="F22" s="9">
        <v>338100</v>
      </c>
      <c r="G22" s="9">
        <v>7</v>
      </c>
      <c r="H22" s="9">
        <v>22.7</v>
      </c>
      <c r="I22" s="9">
        <v>210</v>
      </c>
      <c r="J22" s="9">
        <v>26.38</v>
      </c>
      <c r="K22" s="9">
        <v>13142</v>
      </c>
      <c r="L22" s="10">
        <v>4.5999999999999999E-2</v>
      </c>
      <c r="M22" s="10">
        <v>0.33500000000000002</v>
      </c>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7E93B5-3ACF-4751-95C4-B8B1571660E0}">
  <sheetPr codeName="Sheet11"/>
  <dimension ref="A2:B7"/>
  <sheetViews>
    <sheetView zoomScale="92" workbookViewId="0">
      <selection activeCell="A13" sqref="A13"/>
    </sheetView>
  </sheetViews>
  <sheetFormatPr defaultColWidth="8.83203125" defaultRowHeight="14" x14ac:dyDescent="0.3"/>
  <cols>
    <col min="1" max="1" width="51.83203125" bestFit="1" customWidth="1"/>
    <col min="2" max="2" width="85.83203125" bestFit="1" customWidth="1"/>
  </cols>
  <sheetData>
    <row r="2" spans="1:2" x14ac:dyDescent="0.3">
      <c r="A2" t="s">
        <v>61</v>
      </c>
      <c r="B2" t="s">
        <v>60</v>
      </c>
    </row>
    <row r="3" spans="1:2" ht="16" x14ac:dyDescent="0.5">
      <c r="A3" s="6" t="s">
        <v>63</v>
      </c>
      <c r="B3" t="s">
        <v>62</v>
      </c>
    </row>
    <row r="4" spans="1:2" ht="16" x14ac:dyDescent="0.5">
      <c r="A4" s="6" t="s">
        <v>64</v>
      </c>
      <c r="B4" t="s">
        <v>65</v>
      </c>
    </row>
    <row r="5" spans="1:2" ht="16" x14ac:dyDescent="0.5">
      <c r="A5" s="6" t="s">
        <v>66</v>
      </c>
      <c r="B5" t="s">
        <v>67</v>
      </c>
    </row>
    <row r="6" spans="1:2" ht="16" x14ac:dyDescent="0.5">
      <c r="A6" s="6" t="s">
        <v>68</v>
      </c>
      <c r="B6" t="s">
        <v>69</v>
      </c>
    </row>
    <row r="7" spans="1:2" ht="16" x14ac:dyDescent="0.5">
      <c r="A7" s="6" t="s">
        <v>71</v>
      </c>
      <c r="B7" t="s">
        <v>70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Dashboard</vt:lpstr>
      <vt:lpstr>Education</vt:lpstr>
      <vt:lpstr>Population</vt:lpstr>
      <vt:lpstr>Climate</vt:lpstr>
      <vt:lpstr>EconomicalFactors</vt:lpstr>
      <vt:lpstr>Crime</vt:lpstr>
      <vt:lpstr>HomePrice</vt:lpstr>
      <vt:lpstr>HealthCare</vt:lpstr>
      <vt:lpstr>Income tax</vt:lpstr>
      <vt:lpstr>UnemploymentRate</vt:lpstr>
      <vt:lpstr>Data</vt:lpstr>
      <vt:lpstr>Bibliography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Nimisha Shah</dc:creator>
  <cp:lastModifiedBy>Nimisha Shah</cp:lastModifiedBy>
  <dcterms:created xsi:type="dcterms:W3CDTF">2024-12-03T03:31:44Z</dcterms:created>
  <dcterms:modified xsi:type="dcterms:W3CDTF">2025-01-09T04:35:13Z</dcterms:modified>
</cp:coreProperties>
</file>